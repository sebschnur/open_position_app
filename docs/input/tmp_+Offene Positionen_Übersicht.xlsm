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\\m-laufwerk.intra.auew.de\home$\SchnurS\Eigene Dateien\06 Persönlich\ChatGPT\Projekte\IT Tech-Stack Entwicklung\open_position_trading_app\"/>
    </mc:Choice>
  </mc:AlternateContent>
  <xr:revisionPtr revIDLastSave="0" documentId="13_ncr:1_{C9F3F3DB-E51E-49A9-89F8-2C1DAD160B83}" xr6:coauthVersionLast="47" xr6:coauthVersionMax="47" xr10:uidLastSave="{00000000-0000-0000-0000-000000000000}"/>
  <bookViews>
    <workbookView xWindow="-28920" yWindow="-120" windowWidth="19440" windowHeight="10320" tabRatio="601" xr2:uid="{00000000-000D-0000-FFFF-FFFF00000000}"/>
  </bookViews>
  <sheets>
    <sheet name="Position Frontjahre" sheetId="11" r:id="rId1"/>
    <sheet name="Vertriebsinfos" sheetId="14" r:id="rId2"/>
    <sheet name="Handelskalender" sheetId="12" r:id="rId3"/>
    <sheet name="Limitorder" sheetId="13" r:id="rId4"/>
    <sheet name="Stunden" sheetId="2" r:id="rId5"/>
  </sheets>
  <definedNames>
    <definedName name="_xlnm._FilterDatabase" localSheetId="2" hidden="1">Handelskalender!$A$2:$N$153</definedName>
    <definedName name="_xlnm._FilterDatabase" localSheetId="3" hidden="1">Limitorder!$A$4:$J$21</definedName>
    <definedName name="_xlnm._FilterDatabase" localSheetId="0" hidden="1">'Position Frontjahre'!$A$6:$C$192</definedName>
    <definedName name="_xleta.NA" hidden="1" xlm="1">#NAME?</definedName>
    <definedName name="_xleta.TODAY" hidden="1" xlm="1">#NAME?</definedName>
    <definedName name="Datum">'Position Frontjahre'!$C$2</definedName>
    <definedName name="Pos0">'Position Frontjahre'!$D$7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4" l="1"/>
  <c r="M14" i="14" s="1"/>
  <c r="N14" i="14" l="1"/>
  <c r="C46" i="14" l="1"/>
  <c r="E20" i="14" l="1"/>
  <c r="J20" i="14"/>
  <c r="A21" i="14"/>
  <c r="A23" i="14"/>
  <c r="A22" i="14"/>
  <c r="A20" i="14"/>
  <c r="A13" i="13" l="1"/>
  <c r="H13" i="13" s="1"/>
  <c r="I13" i="13" s="1"/>
  <c r="H11" i="13"/>
  <c r="I11" i="13" s="1"/>
  <c r="J11" i="13"/>
  <c r="H12" i="13"/>
  <c r="I12" i="13" s="1"/>
  <c r="J12" i="13"/>
  <c r="J13" i="13"/>
  <c r="J14" i="13"/>
  <c r="J15" i="13"/>
  <c r="H17" i="13"/>
  <c r="I17" i="13" s="1"/>
  <c r="J17" i="13"/>
  <c r="H18" i="13"/>
  <c r="I18" i="13" s="1"/>
  <c r="J18" i="13"/>
  <c r="H19" i="13"/>
  <c r="I19" i="13" s="1"/>
  <c r="J19" i="13"/>
  <c r="H20" i="13"/>
  <c r="I20" i="13" s="1"/>
  <c r="J20" i="13"/>
  <c r="H21" i="13"/>
  <c r="I21" i="13" s="1"/>
  <c r="J21" i="13"/>
  <c r="H10" i="13"/>
  <c r="I10" i="13" s="1"/>
  <c r="J10" i="13"/>
  <c r="H7" i="13"/>
  <c r="I7" i="13" s="1"/>
  <c r="J7" i="13"/>
  <c r="H8" i="13"/>
  <c r="I8" i="13" s="1"/>
  <c r="J8" i="13"/>
  <c r="H9" i="13"/>
  <c r="I9" i="13" s="1"/>
  <c r="J9" i="13"/>
  <c r="J23" i="14" l="1"/>
  <c r="E38" i="14" s="1"/>
  <c r="E23" i="14"/>
  <c r="E37" i="14" s="1"/>
  <c r="J22" i="14"/>
  <c r="E22" i="14"/>
  <c r="J21" i="14"/>
  <c r="E21" i="14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C57" i="2"/>
  <c r="D57" i="2"/>
  <c r="R17" i="11"/>
  <c r="J14" i="14"/>
  <c r="J16" i="14"/>
  <c r="E15" i="14"/>
  <c r="M15" i="14" s="1"/>
  <c r="N15" i="14" s="1"/>
  <c r="E16" i="14"/>
  <c r="M16" i="14" s="1"/>
  <c r="N16" i="14" s="1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A161" i="2"/>
  <c r="A162" i="2"/>
  <c r="A163" i="2"/>
  <c r="A164" i="2"/>
  <c r="L164" i="2"/>
  <c r="K164" i="2"/>
  <c r="J164" i="2"/>
  <c r="I164" i="2"/>
  <c r="H164" i="2"/>
  <c r="G164" i="2"/>
  <c r="F164" i="2"/>
  <c r="E164" i="2"/>
  <c r="D164" i="2"/>
  <c r="C164" i="2"/>
  <c r="L163" i="2"/>
  <c r="K163" i="2"/>
  <c r="J163" i="2"/>
  <c r="I163" i="2"/>
  <c r="H163" i="2"/>
  <c r="H165" i="2"/>
  <c r="G163" i="2"/>
  <c r="F163" i="2"/>
  <c r="E163" i="2"/>
  <c r="D163" i="2"/>
  <c r="C163" i="2"/>
  <c r="L162" i="2"/>
  <c r="K162" i="2"/>
  <c r="J162" i="2"/>
  <c r="J165" i="2"/>
  <c r="I162" i="2"/>
  <c r="I165" i="2"/>
  <c r="H162" i="2"/>
  <c r="G162" i="2"/>
  <c r="G165" i="2"/>
  <c r="F162" i="2"/>
  <c r="F165" i="2"/>
  <c r="E162" i="2"/>
  <c r="E165" i="2"/>
  <c r="D162" i="2"/>
  <c r="D165" i="2"/>
  <c r="C162" i="2"/>
  <c r="C165" i="2"/>
  <c r="L161" i="2"/>
  <c r="K161" i="2"/>
  <c r="J161" i="2"/>
  <c r="I161" i="2"/>
  <c r="H161" i="2"/>
  <c r="G161" i="2"/>
  <c r="F161" i="2"/>
  <c r="E161" i="2"/>
  <c r="D161" i="2"/>
  <c r="C161" i="2"/>
  <c r="L160" i="2"/>
  <c r="K160" i="2"/>
  <c r="J160" i="2"/>
  <c r="I160" i="2"/>
  <c r="H160" i="2"/>
  <c r="G160" i="2"/>
  <c r="F160" i="2"/>
  <c r="E160" i="2"/>
  <c r="D160" i="2"/>
  <c r="C160" i="2"/>
  <c r="A107" i="2"/>
  <c r="A108" i="2"/>
  <c r="A109" i="2"/>
  <c r="A110" i="2"/>
  <c r="A125" i="2"/>
  <c r="A126" i="2"/>
  <c r="A127" i="2"/>
  <c r="A128" i="2"/>
  <c r="A143" i="2"/>
  <c r="A144" i="2"/>
  <c r="A145" i="2"/>
  <c r="A146" i="2"/>
  <c r="L146" i="2"/>
  <c r="K146" i="2"/>
  <c r="J146" i="2"/>
  <c r="I146" i="2"/>
  <c r="H146" i="2"/>
  <c r="G146" i="2"/>
  <c r="F146" i="2"/>
  <c r="E146" i="2"/>
  <c r="D146" i="2"/>
  <c r="C146" i="2"/>
  <c r="L145" i="2"/>
  <c r="K145" i="2"/>
  <c r="J145" i="2"/>
  <c r="I145" i="2"/>
  <c r="H145" i="2"/>
  <c r="G145" i="2"/>
  <c r="F145" i="2"/>
  <c r="E145" i="2"/>
  <c r="D145" i="2"/>
  <c r="C145" i="2"/>
  <c r="L144" i="2"/>
  <c r="K144" i="2"/>
  <c r="J144" i="2"/>
  <c r="I144" i="2"/>
  <c r="H144" i="2"/>
  <c r="G144" i="2"/>
  <c r="F144" i="2"/>
  <c r="E144" i="2"/>
  <c r="D144" i="2"/>
  <c r="C144" i="2"/>
  <c r="L143" i="2"/>
  <c r="K143" i="2"/>
  <c r="J143" i="2"/>
  <c r="I143" i="2"/>
  <c r="H143" i="2"/>
  <c r="G143" i="2"/>
  <c r="F143" i="2"/>
  <c r="E143" i="2"/>
  <c r="D143" i="2"/>
  <c r="C143" i="2"/>
  <c r="L142" i="2"/>
  <c r="K142" i="2"/>
  <c r="J142" i="2"/>
  <c r="I142" i="2"/>
  <c r="H142" i="2"/>
  <c r="G142" i="2"/>
  <c r="F142" i="2"/>
  <c r="E142" i="2"/>
  <c r="D142" i="2"/>
  <c r="C142" i="2"/>
  <c r="G129" i="2"/>
  <c r="F129" i="2"/>
  <c r="E129" i="2"/>
  <c r="D129" i="2"/>
  <c r="C129" i="2"/>
  <c r="L128" i="2"/>
  <c r="K128" i="2"/>
  <c r="J128" i="2"/>
  <c r="I128" i="2"/>
  <c r="H128" i="2"/>
  <c r="G128" i="2"/>
  <c r="F128" i="2"/>
  <c r="E128" i="2"/>
  <c r="D128" i="2"/>
  <c r="C128" i="2"/>
  <c r="L127" i="2"/>
  <c r="K127" i="2"/>
  <c r="J127" i="2"/>
  <c r="I127" i="2"/>
  <c r="H127" i="2"/>
  <c r="G127" i="2"/>
  <c r="F127" i="2"/>
  <c r="E127" i="2"/>
  <c r="D127" i="2"/>
  <c r="C127" i="2"/>
  <c r="L126" i="2"/>
  <c r="L129" i="2"/>
  <c r="K126" i="2"/>
  <c r="K129" i="2"/>
  <c r="J126" i="2"/>
  <c r="I126" i="2"/>
  <c r="I129" i="2"/>
  <c r="H126" i="2"/>
  <c r="H129" i="2"/>
  <c r="G126" i="2"/>
  <c r="F126" i="2"/>
  <c r="E126" i="2"/>
  <c r="D126" i="2"/>
  <c r="C126" i="2"/>
  <c r="L125" i="2"/>
  <c r="K125" i="2"/>
  <c r="J125" i="2"/>
  <c r="I125" i="2"/>
  <c r="H125" i="2"/>
  <c r="G125" i="2"/>
  <c r="F125" i="2"/>
  <c r="E125" i="2"/>
  <c r="D125" i="2"/>
  <c r="C125" i="2"/>
  <c r="L124" i="2"/>
  <c r="K124" i="2"/>
  <c r="J124" i="2"/>
  <c r="I124" i="2"/>
  <c r="H124" i="2"/>
  <c r="G124" i="2"/>
  <c r="F124" i="2"/>
  <c r="E124" i="2"/>
  <c r="D124" i="2"/>
  <c r="C124" i="2"/>
  <c r="C111" i="2"/>
  <c r="L110" i="2"/>
  <c r="K110" i="2"/>
  <c r="J110" i="2"/>
  <c r="I110" i="2"/>
  <c r="H110" i="2"/>
  <c r="G110" i="2"/>
  <c r="F110" i="2"/>
  <c r="E110" i="2"/>
  <c r="D110" i="2"/>
  <c r="C110" i="2"/>
  <c r="L109" i="2"/>
  <c r="K109" i="2"/>
  <c r="J109" i="2"/>
  <c r="I109" i="2"/>
  <c r="H109" i="2"/>
  <c r="G109" i="2"/>
  <c r="F109" i="2"/>
  <c r="E109" i="2"/>
  <c r="D109" i="2"/>
  <c r="C109" i="2"/>
  <c r="L108" i="2"/>
  <c r="K108" i="2"/>
  <c r="K111" i="2"/>
  <c r="J108" i="2"/>
  <c r="I108" i="2"/>
  <c r="H108" i="2"/>
  <c r="G108" i="2"/>
  <c r="G111" i="2"/>
  <c r="F108" i="2"/>
  <c r="F111" i="2"/>
  <c r="E108" i="2"/>
  <c r="E111" i="2"/>
  <c r="D108" i="2"/>
  <c r="D111" i="2"/>
  <c r="C108" i="2"/>
  <c r="L107" i="2"/>
  <c r="K107" i="2"/>
  <c r="J107" i="2"/>
  <c r="I107" i="2"/>
  <c r="H107" i="2"/>
  <c r="G107" i="2"/>
  <c r="F107" i="2"/>
  <c r="E107" i="2"/>
  <c r="D107" i="2"/>
  <c r="C107" i="2"/>
  <c r="L106" i="2"/>
  <c r="K106" i="2"/>
  <c r="J106" i="2"/>
  <c r="I106" i="2"/>
  <c r="H106" i="2"/>
  <c r="G106" i="2"/>
  <c r="F106" i="2"/>
  <c r="E106" i="2"/>
  <c r="D106" i="2"/>
  <c r="C106" i="2"/>
  <c r="G147" i="2"/>
  <c r="I147" i="2"/>
  <c r="L147" i="2"/>
  <c r="K165" i="2"/>
  <c r="L165" i="2"/>
  <c r="D147" i="2"/>
  <c r="J111" i="2"/>
  <c r="H147" i="2"/>
  <c r="J147" i="2"/>
  <c r="K147" i="2"/>
  <c r="J129" i="2"/>
  <c r="C147" i="2"/>
  <c r="E147" i="2"/>
  <c r="I111" i="2"/>
  <c r="F147" i="2"/>
  <c r="L111" i="2"/>
  <c r="H111" i="2"/>
  <c r="J153" i="12"/>
  <c r="I153" i="12"/>
  <c r="H153" i="12"/>
  <c r="D153" i="12"/>
  <c r="J152" i="12"/>
  <c r="I152" i="12"/>
  <c r="H152" i="12"/>
  <c r="D152" i="12"/>
  <c r="J151" i="12"/>
  <c r="I151" i="12"/>
  <c r="H151" i="12"/>
  <c r="D151" i="12"/>
  <c r="J150" i="12"/>
  <c r="I150" i="12"/>
  <c r="H150" i="12"/>
  <c r="D150" i="12"/>
  <c r="J149" i="12"/>
  <c r="I149" i="12"/>
  <c r="H149" i="12"/>
  <c r="D149" i="12"/>
  <c r="J148" i="12"/>
  <c r="I148" i="12"/>
  <c r="H148" i="12"/>
  <c r="D148" i="12"/>
  <c r="J147" i="12"/>
  <c r="I147" i="12"/>
  <c r="H147" i="12"/>
  <c r="D147" i="12"/>
  <c r="J146" i="12"/>
  <c r="I146" i="12"/>
  <c r="H146" i="12"/>
  <c r="D146" i="12"/>
  <c r="J145" i="12"/>
  <c r="I145" i="12"/>
  <c r="H145" i="12"/>
  <c r="D145" i="12"/>
  <c r="J144" i="12"/>
  <c r="I144" i="12"/>
  <c r="H144" i="12"/>
  <c r="D144" i="12"/>
  <c r="J143" i="12"/>
  <c r="I143" i="12"/>
  <c r="H143" i="12"/>
  <c r="D143" i="12"/>
  <c r="J142" i="12"/>
  <c r="I142" i="12"/>
  <c r="H142" i="12"/>
  <c r="D142" i="12"/>
  <c r="J141" i="12"/>
  <c r="I141" i="12"/>
  <c r="H141" i="12"/>
  <c r="D141" i="12"/>
  <c r="J140" i="12"/>
  <c r="I140" i="12"/>
  <c r="H140" i="12"/>
  <c r="D140" i="12"/>
  <c r="J139" i="12"/>
  <c r="I139" i="12"/>
  <c r="H139" i="12"/>
  <c r="D139" i="12"/>
  <c r="J138" i="12"/>
  <c r="I138" i="12"/>
  <c r="H138" i="12"/>
  <c r="D138" i="12"/>
  <c r="J137" i="12"/>
  <c r="I137" i="12"/>
  <c r="H137" i="12"/>
  <c r="D137" i="12"/>
  <c r="J136" i="12"/>
  <c r="I136" i="12"/>
  <c r="H136" i="12"/>
  <c r="D136" i="12"/>
  <c r="J135" i="12"/>
  <c r="I135" i="12"/>
  <c r="H135" i="12"/>
  <c r="D135" i="12"/>
  <c r="J134" i="12"/>
  <c r="I134" i="12"/>
  <c r="H134" i="12"/>
  <c r="D134" i="12"/>
  <c r="J133" i="12"/>
  <c r="I133" i="12"/>
  <c r="H133" i="12"/>
  <c r="D133" i="12"/>
  <c r="J132" i="12"/>
  <c r="I132" i="12"/>
  <c r="H132" i="12"/>
  <c r="D132" i="12"/>
  <c r="J131" i="12"/>
  <c r="I131" i="12"/>
  <c r="H131" i="12"/>
  <c r="D131" i="12"/>
  <c r="J130" i="12"/>
  <c r="I130" i="12"/>
  <c r="H130" i="12"/>
  <c r="D130" i="12"/>
  <c r="J129" i="12"/>
  <c r="I129" i="12"/>
  <c r="H129" i="12"/>
  <c r="D129" i="12"/>
  <c r="J128" i="12"/>
  <c r="I128" i="12"/>
  <c r="H128" i="12"/>
  <c r="D128" i="12"/>
  <c r="J127" i="12"/>
  <c r="I127" i="12"/>
  <c r="H127" i="12"/>
  <c r="D127" i="12"/>
  <c r="J126" i="12"/>
  <c r="I126" i="12"/>
  <c r="H126" i="12"/>
  <c r="D126" i="12"/>
  <c r="J125" i="12"/>
  <c r="I125" i="12"/>
  <c r="H125" i="12"/>
  <c r="D125" i="12"/>
  <c r="J124" i="12"/>
  <c r="I124" i="12"/>
  <c r="H124" i="12"/>
  <c r="D124" i="12"/>
  <c r="J123" i="12"/>
  <c r="I123" i="12"/>
  <c r="H123" i="12"/>
  <c r="D123" i="12"/>
  <c r="J122" i="12"/>
  <c r="I122" i="12"/>
  <c r="H122" i="12"/>
  <c r="D122" i="12"/>
  <c r="J121" i="12"/>
  <c r="I121" i="12"/>
  <c r="H121" i="12"/>
  <c r="D121" i="12"/>
  <c r="J120" i="12"/>
  <c r="I120" i="12"/>
  <c r="H120" i="12"/>
  <c r="D120" i="12"/>
  <c r="J119" i="12"/>
  <c r="I119" i="12"/>
  <c r="H119" i="12"/>
  <c r="D119" i="12"/>
  <c r="J118" i="12"/>
  <c r="I118" i="12"/>
  <c r="H118" i="12"/>
  <c r="D118" i="12"/>
  <c r="J117" i="12"/>
  <c r="I117" i="12"/>
  <c r="H117" i="12"/>
  <c r="D117" i="12"/>
  <c r="J116" i="12"/>
  <c r="I116" i="12"/>
  <c r="H116" i="12"/>
  <c r="D116" i="12"/>
  <c r="J115" i="12"/>
  <c r="I115" i="12"/>
  <c r="H115" i="12"/>
  <c r="D115" i="12"/>
  <c r="J114" i="12"/>
  <c r="I114" i="12"/>
  <c r="H114" i="12"/>
  <c r="D114" i="12"/>
  <c r="J113" i="12"/>
  <c r="I113" i="12"/>
  <c r="H113" i="12"/>
  <c r="D113" i="12"/>
  <c r="J112" i="12"/>
  <c r="I112" i="12"/>
  <c r="H112" i="12"/>
  <c r="D112" i="12"/>
  <c r="J111" i="12"/>
  <c r="I111" i="12"/>
  <c r="H111" i="12"/>
  <c r="D111" i="12"/>
  <c r="J110" i="12"/>
  <c r="I110" i="12"/>
  <c r="H110" i="12"/>
  <c r="D110" i="12"/>
  <c r="J109" i="12"/>
  <c r="I109" i="12"/>
  <c r="H109" i="12"/>
  <c r="D109" i="12"/>
  <c r="J108" i="12"/>
  <c r="I108" i="12"/>
  <c r="H108" i="12"/>
  <c r="D108" i="12"/>
  <c r="J107" i="12"/>
  <c r="I107" i="12"/>
  <c r="H107" i="12"/>
  <c r="D107" i="12"/>
  <c r="J106" i="12"/>
  <c r="I106" i="12"/>
  <c r="H106" i="12"/>
  <c r="D106" i="12"/>
  <c r="J105" i="12"/>
  <c r="I105" i="12"/>
  <c r="H105" i="12"/>
  <c r="D105" i="12"/>
  <c r="J104" i="12"/>
  <c r="I104" i="12"/>
  <c r="H104" i="12"/>
  <c r="D104" i="12"/>
  <c r="J103" i="12"/>
  <c r="I103" i="12"/>
  <c r="H103" i="12"/>
  <c r="D103" i="12"/>
  <c r="J102" i="12"/>
  <c r="I102" i="12"/>
  <c r="H102" i="12"/>
  <c r="D102" i="12"/>
  <c r="J101" i="12"/>
  <c r="I101" i="12"/>
  <c r="H101" i="12"/>
  <c r="D101" i="12"/>
  <c r="J100" i="12"/>
  <c r="I100" i="12"/>
  <c r="H100" i="12"/>
  <c r="D100" i="12"/>
  <c r="O11" i="12"/>
  <c r="O21" i="12"/>
  <c r="O26" i="12"/>
  <c r="O32" i="12"/>
  <c r="D2" i="11"/>
  <c r="E2" i="11" s="1"/>
  <c r="B68" i="14"/>
  <c r="E66" i="14"/>
  <c r="C68" i="14"/>
  <c r="D68" i="14"/>
  <c r="E68" i="14"/>
  <c r="C47" i="14"/>
  <c r="C48" i="14"/>
  <c r="A8" i="14"/>
  <c r="J17" i="14"/>
  <c r="A38" i="14" s="1"/>
  <c r="E56" i="14"/>
  <c r="A9" i="14"/>
  <c r="H8" i="14"/>
  <c r="R16" i="11"/>
  <c r="S16" i="11" s="1"/>
  <c r="K42" i="14"/>
  <c r="S45" i="14" s="1"/>
  <c r="A53" i="2"/>
  <c r="A54" i="2"/>
  <c r="A55" i="2"/>
  <c r="A56" i="2"/>
  <c r="A71" i="2"/>
  <c r="A72" i="2"/>
  <c r="A73" i="2"/>
  <c r="A74" i="2"/>
  <c r="A89" i="2"/>
  <c r="A90" i="2"/>
  <c r="A91" i="2"/>
  <c r="A92" i="2"/>
  <c r="L92" i="2"/>
  <c r="K92" i="2"/>
  <c r="J92" i="2"/>
  <c r="I92" i="2"/>
  <c r="H92" i="2"/>
  <c r="G92" i="2"/>
  <c r="F92" i="2"/>
  <c r="E92" i="2"/>
  <c r="D92" i="2"/>
  <c r="C92" i="2"/>
  <c r="L91" i="2"/>
  <c r="K91" i="2"/>
  <c r="J91" i="2"/>
  <c r="I91" i="2"/>
  <c r="H91" i="2"/>
  <c r="G91" i="2"/>
  <c r="F91" i="2"/>
  <c r="E91" i="2"/>
  <c r="D91" i="2"/>
  <c r="C91" i="2"/>
  <c r="L90" i="2"/>
  <c r="K90" i="2"/>
  <c r="K93" i="2"/>
  <c r="J90" i="2"/>
  <c r="J93" i="2"/>
  <c r="I90" i="2"/>
  <c r="H90" i="2"/>
  <c r="H93" i="2"/>
  <c r="G90" i="2"/>
  <c r="G93" i="2"/>
  <c r="F90" i="2"/>
  <c r="E90" i="2"/>
  <c r="D90" i="2"/>
  <c r="D93" i="2"/>
  <c r="C90" i="2"/>
  <c r="C93" i="2"/>
  <c r="L89" i="2"/>
  <c r="K89" i="2"/>
  <c r="J89" i="2"/>
  <c r="I89" i="2"/>
  <c r="H89" i="2"/>
  <c r="G89" i="2"/>
  <c r="F89" i="2"/>
  <c r="E89" i="2"/>
  <c r="D89" i="2"/>
  <c r="C89" i="2"/>
  <c r="L88" i="2"/>
  <c r="K88" i="2"/>
  <c r="J88" i="2"/>
  <c r="I88" i="2"/>
  <c r="H88" i="2"/>
  <c r="G88" i="2"/>
  <c r="F88" i="2"/>
  <c r="E88" i="2"/>
  <c r="D88" i="2"/>
  <c r="C88" i="2"/>
  <c r="L74" i="2"/>
  <c r="K74" i="2"/>
  <c r="J74" i="2"/>
  <c r="I74" i="2"/>
  <c r="H74" i="2"/>
  <c r="G74" i="2"/>
  <c r="F74" i="2"/>
  <c r="E74" i="2"/>
  <c r="D74" i="2"/>
  <c r="C74" i="2"/>
  <c r="L73" i="2"/>
  <c r="K73" i="2"/>
  <c r="J73" i="2"/>
  <c r="I73" i="2"/>
  <c r="I75" i="2"/>
  <c r="H73" i="2"/>
  <c r="G73" i="2"/>
  <c r="G75" i="2"/>
  <c r="F73" i="2"/>
  <c r="E73" i="2"/>
  <c r="D73" i="2"/>
  <c r="C73" i="2"/>
  <c r="L72" i="2"/>
  <c r="K72" i="2"/>
  <c r="K75" i="2"/>
  <c r="J72" i="2"/>
  <c r="J75" i="2"/>
  <c r="I72" i="2"/>
  <c r="H72" i="2"/>
  <c r="G72" i="2"/>
  <c r="F72" i="2"/>
  <c r="F75" i="2"/>
  <c r="E72" i="2"/>
  <c r="D72" i="2"/>
  <c r="D75" i="2"/>
  <c r="C72" i="2"/>
  <c r="L71" i="2"/>
  <c r="K71" i="2"/>
  <c r="J71" i="2"/>
  <c r="I71" i="2"/>
  <c r="H71" i="2"/>
  <c r="G71" i="2"/>
  <c r="F71" i="2"/>
  <c r="E71" i="2"/>
  <c r="D71" i="2"/>
  <c r="C71" i="2"/>
  <c r="L70" i="2"/>
  <c r="K70" i="2"/>
  <c r="J70" i="2"/>
  <c r="I70" i="2"/>
  <c r="H70" i="2"/>
  <c r="G70" i="2"/>
  <c r="F70" i="2"/>
  <c r="E70" i="2"/>
  <c r="D70" i="2"/>
  <c r="C70" i="2"/>
  <c r="L56" i="2"/>
  <c r="K56" i="2"/>
  <c r="J56" i="2"/>
  <c r="I56" i="2"/>
  <c r="H56" i="2"/>
  <c r="G56" i="2"/>
  <c r="F56" i="2"/>
  <c r="E56" i="2"/>
  <c r="D56" i="2"/>
  <c r="C56" i="2"/>
  <c r="L55" i="2"/>
  <c r="K55" i="2"/>
  <c r="J55" i="2"/>
  <c r="I55" i="2"/>
  <c r="H55" i="2"/>
  <c r="G55" i="2"/>
  <c r="F55" i="2"/>
  <c r="E55" i="2"/>
  <c r="D55" i="2"/>
  <c r="C55" i="2"/>
  <c r="L54" i="2"/>
  <c r="K54" i="2"/>
  <c r="K57" i="2"/>
  <c r="J54" i="2"/>
  <c r="J57" i="2"/>
  <c r="I54" i="2"/>
  <c r="H54" i="2"/>
  <c r="H57" i="2"/>
  <c r="G54" i="2"/>
  <c r="G57" i="2"/>
  <c r="F54" i="2"/>
  <c r="E54" i="2"/>
  <c r="D54" i="2"/>
  <c r="C54" i="2"/>
  <c r="L53" i="2"/>
  <c r="K53" i="2"/>
  <c r="J53" i="2"/>
  <c r="I53" i="2"/>
  <c r="H53" i="2"/>
  <c r="G53" i="2"/>
  <c r="F53" i="2"/>
  <c r="E53" i="2"/>
  <c r="D53" i="2"/>
  <c r="C53" i="2"/>
  <c r="L52" i="2"/>
  <c r="K52" i="2"/>
  <c r="J52" i="2"/>
  <c r="I52" i="2"/>
  <c r="H52" i="2"/>
  <c r="G52" i="2"/>
  <c r="F52" i="2"/>
  <c r="E52" i="2"/>
  <c r="D52" i="2"/>
  <c r="C52" i="2"/>
  <c r="A35" i="2"/>
  <c r="A36" i="2"/>
  <c r="A37" i="2"/>
  <c r="A38" i="2"/>
  <c r="L38" i="2"/>
  <c r="K38" i="2"/>
  <c r="J38" i="2"/>
  <c r="I38" i="2"/>
  <c r="H38" i="2"/>
  <c r="G38" i="2"/>
  <c r="F38" i="2"/>
  <c r="E38" i="2"/>
  <c r="D38" i="2"/>
  <c r="C38" i="2"/>
  <c r="L37" i="2"/>
  <c r="K37" i="2"/>
  <c r="J37" i="2"/>
  <c r="I37" i="2"/>
  <c r="H37" i="2"/>
  <c r="G37" i="2"/>
  <c r="G39" i="2"/>
  <c r="F37" i="2"/>
  <c r="E37" i="2"/>
  <c r="D37" i="2"/>
  <c r="D39" i="2"/>
  <c r="C37" i="2"/>
  <c r="L36" i="2"/>
  <c r="L39" i="2"/>
  <c r="K36" i="2"/>
  <c r="K39" i="2"/>
  <c r="J36" i="2"/>
  <c r="J39" i="2"/>
  <c r="I36" i="2"/>
  <c r="H36" i="2"/>
  <c r="G36" i="2"/>
  <c r="F36" i="2"/>
  <c r="E36" i="2"/>
  <c r="D36" i="2"/>
  <c r="C36" i="2"/>
  <c r="L35" i="2"/>
  <c r="K35" i="2"/>
  <c r="J35" i="2"/>
  <c r="I35" i="2"/>
  <c r="H35" i="2"/>
  <c r="G35" i="2"/>
  <c r="F35" i="2"/>
  <c r="E35" i="2"/>
  <c r="D35" i="2"/>
  <c r="C35" i="2"/>
  <c r="L34" i="2"/>
  <c r="K34" i="2"/>
  <c r="J34" i="2"/>
  <c r="I34" i="2"/>
  <c r="H34" i="2"/>
  <c r="G34" i="2"/>
  <c r="F34" i="2"/>
  <c r="E34" i="2"/>
  <c r="D34" i="2"/>
  <c r="C34" i="2"/>
  <c r="A17" i="2"/>
  <c r="A18" i="2"/>
  <c r="A19" i="2"/>
  <c r="A20" i="2"/>
  <c r="C8" i="14"/>
  <c r="A14" i="14" s="1"/>
  <c r="L20" i="2"/>
  <c r="K20" i="2"/>
  <c r="J20" i="2"/>
  <c r="I20" i="2"/>
  <c r="H20" i="2"/>
  <c r="G20" i="2"/>
  <c r="F20" i="2"/>
  <c r="E20" i="2"/>
  <c r="D20" i="2"/>
  <c r="C20" i="2"/>
  <c r="L19" i="2"/>
  <c r="K19" i="2"/>
  <c r="J19" i="2"/>
  <c r="I19" i="2"/>
  <c r="H19" i="2"/>
  <c r="G19" i="2"/>
  <c r="F19" i="2"/>
  <c r="E19" i="2"/>
  <c r="D19" i="2"/>
  <c r="C19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E18" i="2"/>
  <c r="E21" i="2"/>
  <c r="D18" i="2"/>
  <c r="C18" i="2"/>
  <c r="L17" i="2"/>
  <c r="K17" i="2"/>
  <c r="J17" i="2"/>
  <c r="I17" i="2"/>
  <c r="H17" i="2"/>
  <c r="G17" i="2"/>
  <c r="F17" i="2"/>
  <c r="E17" i="2"/>
  <c r="D17" i="2"/>
  <c r="C17" i="2"/>
  <c r="L16" i="2"/>
  <c r="K16" i="2"/>
  <c r="J16" i="2"/>
  <c r="I16" i="2"/>
  <c r="H16" i="2"/>
  <c r="G16" i="2"/>
  <c r="F16" i="2"/>
  <c r="E16" i="2"/>
  <c r="D16" i="2"/>
  <c r="C16" i="2"/>
  <c r="E39" i="2"/>
  <c r="F57" i="2"/>
  <c r="F93" i="2"/>
  <c r="E93" i="2"/>
  <c r="I93" i="2"/>
  <c r="I57" i="2"/>
  <c r="E75" i="2"/>
  <c r="H39" i="2"/>
  <c r="I39" i="2"/>
  <c r="L57" i="2"/>
  <c r="L93" i="2"/>
  <c r="C75" i="2"/>
  <c r="L75" i="2"/>
  <c r="F39" i="2"/>
  <c r="H75" i="2"/>
  <c r="C21" i="2"/>
  <c r="D21" i="2"/>
  <c r="C39" i="2"/>
  <c r="E57" i="2"/>
  <c r="J3" i="12"/>
  <c r="J4" i="12"/>
  <c r="J5" i="13"/>
  <c r="A29" i="14" l="1"/>
  <c r="E34" i="14"/>
  <c r="E31" i="14"/>
  <c r="E28" i="14"/>
  <c r="E35" i="14"/>
  <c r="E32" i="14"/>
  <c r="E29" i="14"/>
  <c r="A28" i="14"/>
  <c r="O70" i="12"/>
  <c r="J15" i="14"/>
  <c r="D6" i="11"/>
  <c r="B56" i="14"/>
  <c r="B66" i="14"/>
  <c r="E6" i="11"/>
  <c r="F2" i="11"/>
  <c r="F6" i="11" s="1"/>
  <c r="A46" i="14"/>
  <c r="D8" i="14"/>
  <c r="H16" i="13"/>
  <c r="A15" i="14"/>
  <c r="J46" i="14"/>
  <c r="J45" i="14"/>
  <c r="A32" i="14" l="1"/>
  <c r="H14" i="13"/>
  <c r="I14" i="13" s="1"/>
  <c r="A31" i="14"/>
  <c r="C66" i="14"/>
  <c r="C56" i="14"/>
  <c r="E8" i="14"/>
  <c r="A47" i="14"/>
  <c r="G2" i="11"/>
  <c r="H2" i="11" s="1"/>
  <c r="I16" i="13"/>
  <c r="J16" i="13"/>
  <c r="H3" i="12"/>
  <c r="O27" i="12"/>
  <c r="H4" i="12"/>
  <c r="A16" i="14"/>
  <c r="E3" i="11" a="1"/>
  <c r="A28" i="2"/>
  <c r="A114" i="2"/>
  <c r="A104" i="2"/>
  <c r="A85" i="2"/>
  <c r="A124" i="2"/>
  <c r="A133" i="2"/>
  <c r="A116" i="2"/>
  <c r="A100" i="2"/>
  <c r="A8" i="2"/>
  <c r="A97" i="2"/>
  <c r="A98" i="2"/>
  <c r="A157" i="2"/>
  <c r="A52" i="2"/>
  <c r="A117" i="2"/>
  <c r="A84" i="2"/>
  <c r="A61" i="2"/>
  <c r="J3" i="11" a="1"/>
  <c r="F3" i="11" a="1"/>
  <c r="A31" i="2"/>
  <c r="A9" i="2"/>
  <c r="A24" i="2"/>
  <c r="A22" i="2"/>
  <c r="A30" i="2"/>
  <c r="A83" i="2"/>
  <c r="A60" i="2"/>
  <c r="A32" i="2"/>
  <c r="A115" i="2"/>
  <c r="A150" i="2"/>
  <c r="A160" i="2"/>
  <c r="A118" i="2"/>
  <c r="A94" i="2"/>
  <c r="A101" i="2"/>
  <c r="A130" i="2"/>
  <c r="A153" i="2"/>
  <c r="A121" i="2"/>
  <c r="A103" i="2"/>
  <c r="A29" i="2"/>
  <c r="A48" i="2"/>
  <c r="A99" i="2"/>
  <c r="A25" i="2"/>
  <c r="A44" i="2"/>
  <c r="A63" i="2"/>
  <c r="A141" i="2"/>
  <c r="A59" i="2"/>
  <c r="A102" i="2"/>
  <c r="A105" i="2"/>
  <c r="A135" i="2"/>
  <c r="A58" i="2"/>
  <c r="A158" i="2"/>
  <c r="A64" i="2"/>
  <c r="A112" i="2"/>
  <c r="A15" i="2"/>
  <c r="A23" i="2"/>
  <c r="A6" i="2"/>
  <c r="A49" i="2"/>
  <c r="A82" i="2"/>
  <c r="A13" i="2"/>
  <c r="A120" i="2"/>
  <c r="A165" i="2"/>
  <c r="A149" i="2"/>
  <c r="A142" i="2"/>
  <c r="A79" i="2"/>
  <c r="A67" i="2"/>
  <c r="A7" i="2"/>
  <c r="A41" i="2"/>
  <c r="A11" i="2"/>
  <c r="A5" i="2"/>
  <c r="A132" i="2"/>
  <c r="A87" i="2"/>
  <c r="A42" i="2"/>
  <c r="A14" i="2"/>
  <c r="A77" i="2"/>
  <c r="A33" i="2"/>
  <c r="A12" i="2"/>
  <c r="A119" i="2"/>
  <c r="A51" i="2"/>
  <c r="A159" i="2"/>
  <c r="H3" i="11" a="1"/>
  <c r="A27" i="2"/>
  <c r="A96" i="2"/>
  <c r="A122" i="2"/>
  <c r="A156" i="2"/>
  <c r="A138" i="2"/>
  <c r="A140" i="2"/>
  <c r="L3" i="11" a="1"/>
  <c r="A50" i="2"/>
  <c r="A57" i="2"/>
  <c r="A10" i="2"/>
  <c r="A136" i="2"/>
  <c r="M3" i="11" a="1"/>
  <c r="A106" i="2"/>
  <c r="A43" i="2"/>
  <c r="A152" i="2"/>
  <c r="A155" i="2"/>
  <c r="A111" i="2"/>
  <c r="A65" i="2"/>
  <c r="A86" i="2"/>
  <c r="A78" i="2"/>
  <c r="A76" i="2"/>
  <c r="A69" i="2"/>
  <c r="A66" i="2"/>
  <c r="A148" i="2"/>
  <c r="A137" i="2"/>
  <c r="A93" i="2"/>
  <c r="K3" i="11" a="1"/>
  <c r="G3" i="11" a="1"/>
  <c r="A40" i="2"/>
  <c r="A4" i="2"/>
  <c r="A62" i="2"/>
  <c r="A21" i="2"/>
  <c r="A26" i="2"/>
  <c r="A16" i="2"/>
  <c r="A47" i="2"/>
  <c r="A95" i="2"/>
  <c r="I3" i="11" a="1"/>
  <c r="A70" i="2"/>
  <c r="A80" i="2"/>
  <c r="A113" i="2"/>
  <c r="A151" i="2"/>
  <c r="A46" i="2"/>
  <c r="A34" i="2"/>
  <c r="A139" i="2"/>
  <c r="A81" i="2"/>
  <c r="A88" i="2"/>
  <c r="A129" i="2"/>
  <c r="A131" i="2"/>
  <c r="A123" i="2"/>
  <c r="A45" i="2"/>
  <c r="A147" i="2"/>
  <c r="A154" i="2"/>
  <c r="A134" i="2"/>
  <c r="A39" i="2"/>
  <c r="A75" i="2"/>
  <c r="A68" i="2"/>
  <c r="D3" i="11" a="1"/>
  <c r="A35" i="14" l="1"/>
  <c r="A34" i="14"/>
  <c r="H15" i="13"/>
  <c r="I15" i="13" s="1"/>
  <c r="O33" i="12"/>
  <c r="F8" i="14"/>
  <c r="D66" i="14"/>
  <c r="D56" i="14"/>
  <c r="O58" i="12"/>
  <c r="O29" i="12"/>
  <c r="A48" i="14"/>
  <c r="G6" i="11"/>
  <c r="O36" i="12"/>
  <c r="O34" i="12"/>
  <c r="O54" i="12"/>
  <c r="I4" i="12"/>
  <c r="O60" i="12"/>
  <c r="O23" i="12"/>
  <c r="A17" i="14"/>
  <c r="A37" i="14" s="1"/>
  <c r="O52" i="12"/>
  <c r="O69" i="12"/>
  <c r="I3" i="12"/>
  <c r="I2" i="11"/>
  <c r="G8" i="14"/>
  <c r="H6" i="11"/>
  <c r="O18" i="12"/>
  <c r="O13" i="12"/>
  <c r="O45" i="12"/>
  <c r="H6" i="13" l="1"/>
  <c r="H5" i="13"/>
  <c r="I5" i="13" s="1"/>
  <c r="O24" i="12"/>
  <c r="O59" i="12"/>
  <c r="O68" i="12"/>
  <c r="O30" i="12"/>
  <c r="O65" i="12"/>
  <c r="O35" i="12"/>
  <c r="O8" i="12"/>
  <c r="O41" i="12"/>
  <c r="O51" i="12"/>
  <c r="O14" i="12"/>
  <c r="O3" i="12"/>
  <c r="O57" i="12"/>
  <c r="O4" i="12"/>
  <c r="O25" i="12"/>
  <c r="O50" i="12"/>
  <c r="O31" i="12"/>
  <c r="O10" i="12"/>
  <c r="O49" i="12"/>
  <c r="O63" i="12"/>
  <c r="O64" i="12"/>
  <c r="O7" i="12"/>
  <c r="O19" i="12"/>
  <c r="O62" i="12"/>
  <c r="O39" i="12"/>
  <c r="O53" i="12"/>
  <c r="O28" i="12"/>
  <c r="O20" i="12"/>
  <c r="O40" i="12"/>
  <c r="O12" i="12"/>
  <c r="O48" i="12"/>
  <c r="O37" i="12"/>
  <c r="O15" i="12"/>
  <c r="O17" i="12"/>
  <c r="O47" i="12"/>
  <c r="O6" i="12"/>
  <c r="O55" i="12"/>
  <c r="O22" i="12"/>
  <c r="O66" i="12"/>
  <c r="O67" i="12"/>
  <c r="O38" i="12"/>
  <c r="O16" i="12"/>
  <c r="O43" i="12"/>
  <c r="O46" i="12"/>
  <c r="O5" i="12"/>
  <c r="O56" i="12"/>
  <c r="O44" i="12"/>
  <c r="O9" i="12"/>
  <c r="O61" i="12"/>
  <c r="O42" i="12"/>
  <c r="J2" i="11"/>
  <c r="I6" i="11"/>
  <c r="I6" i="13" l="1"/>
  <c r="J6" i="13"/>
  <c r="K2" i="11"/>
  <c r="J6" i="11"/>
  <c r="S17" i="11" l="1" a="1"/>
  <c r="L2" i="11"/>
  <c r="K6" i="11"/>
  <c r="M2" i="11" l="1"/>
  <c r="L6" i="11"/>
  <c r="M6" i="11" l="1"/>
  <c r="M4" i="11" s="1"/>
  <c r="L4" i="11" s="1"/>
  <c r="J4" i="11" s="1"/>
  <c r="I4" i="11" l="1"/>
  <c r="H4" i="11" s="1"/>
  <c r="G9" i="14" s="1"/>
  <c r="G4" i="11" s="1"/>
  <c r="F9" i="14" s="1"/>
  <c r="F4" i="11" s="1"/>
  <c r="E9" i="14" s="1"/>
  <c r="D4" i="11" s="1"/>
  <c r="K4" i="11"/>
  <c r="E4" i="11"/>
  <c r="N3" i="11"/>
  <c r="N4" i="11" l="1"/>
  <c r="H9" i="14" s="1"/>
  <c r="H10" i="14" s="1"/>
  <c r="D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tc={94498A79-701E-4DC7-B6C5-7BF6BEBAB267}</author>
  </authors>
  <commentList>
    <comment ref="C6" authorId="0" shapeId="0" xr:uid="{94498A79-701E-4DC7-B6C5-7BF6BEBAB26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Aus Sicht AÜW
"K" Kauf
"V" Verkauf
„K-NE“ Kauf nicht in Robotron enthalten
„V-NE“ Verkauf nicht in Robotron enthalten
"PK" Planung Kauf
"PV" Planung Verkauf
"ohne" geht nicht in die Berechnung ein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tc={A9D053B5-5CD4-4EC3-9657-ACDF9AD263CD}</author>
  </authors>
  <commentList>
    <comment ref="A4" authorId="0" shapeId="0" xr:uid="{A9D053B5-5CD4-4EC3-9657-ACDF9AD263C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"2024" oder "Q223" oder "Apr-23"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<sst xmlns="http://schemas.openxmlformats.org/spreadsheetml/2006/main" count="214" uniqueCount="158">
  <si>
    <t>Produkt</t>
  </si>
  <si>
    <t>Base</t>
  </si>
  <si>
    <t>Peak</t>
  </si>
  <si>
    <t>Stunden</t>
  </si>
  <si>
    <t>Tagtypen</t>
  </si>
  <si>
    <t>VKW Feiertage</t>
  </si>
  <si>
    <t>Monat</t>
  </si>
  <si>
    <t>Base [h]</t>
  </si>
  <si>
    <t>Peak [h]</t>
  </si>
  <si>
    <t>Mo - Fr</t>
  </si>
  <si>
    <t>Sa</t>
  </si>
  <si>
    <t>So</t>
  </si>
  <si>
    <t>HT [h]</t>
  </si>
  <si>
    <t>NT [h]</t>
  </si>
  <si>
    <t>MW</t>
  </si>
  <si>
    <t>MWh</t>
  </si>
  <si>
    <t>Übersetzung</t>
  </si>
  <si>
    <t>Cal25</t>
  </si>
  <si>
    <t>Q1-25</t>
  </si>
  <si>
    <t>Q2-25</t>
  </si>
  <si>
    <t>Q3-25</t>
  </si>
  <si>
    <t>Q4-25</t>
  </si>
  <si>
    <t>Sum25</t>
  </si>
  <si>
    <t>Menge</t>
  </si>
  <si>
    <t>Datum</t>
  </si>
  <si>
    <t>K</t>
  </si>
  <si>
    <t>V</t>
  </si>
  <si>
    <t>Richtung</t>
  </si>
  <si>
    <t>Jahr</t>
  </si>
  <si>
    <t>Datum Report</t>
  </si>
  <si>
    <t>Bezeichnung</t>
  </si>
  <si>
    <t>Handelskalender</t>
  </si>
  <si>
    <t>Portfolio A/B</t>
  </si>
  <si>
    <t>Saldo: beschaffen (pos) / zuviel beschafft (neg)</t>
  </si>
  <si>
    <t>(-) minus Verkaufsposition</t>
  </si>
  <si>
    <t>(+) plus Kaufposition</t>
  </si>
  <si>
    <t>Cal26</t>
  </si>
  <si>
    <t>Q1-26</t>
  </si>
  <si>
    <t>Q2-26</t>
  </si>
  <si>
    <t>Q3-26</t>
  </si>
  <si>
    <t>Q4-26</t>
  </si>
  <si>
    <t>Sum26</t>
  </si>
  <si>
    <t>Cal27</t>
  </si>
  <si>
    <t>Q1-27</t>
  </si>
  <si>
    <t>Q2-27</t>
  </si>
  <si>
    <t>Q3-27</t>
  </si>
  <si>
    <t>Q4-27</t>
  </si>
  <si>
    <t>Sum27</t>
  </si>
  <si>
    <t>Cal28</t>
  </si>
  <si>
    <t>Q1-28</t>
  </si>
  <si>
    <t>Q2-28</t>
  </si>
  <si>
    <t>Q3-28</t>
  </si>
  <si>
    <t>Q4-28</t>
  </si>
  <si>
    <t>Sum28</t>
  </si>
  <si>
    <t>Cal29</t>
  </si>
  <si>
    <t>Q1-29</t>
  </si>
  <si>
    <t>Q2-29</t>
  </si>
  <si>
    <t>Q3-29</t>
  </si>
  <si>
    <t>Q4-29</t>
  </si>
  <si>
    <t>Sum29</t>
  </si>
  <si>
    <t>Vertriebsinfos</t>
  </si>
  <si>
    <t>OTC-Preis</t>
  </si>
  <si>
    <t>Angebotsversendung - Rücksprache mit EH</t>
  </si>
  <si>
    <t>[MWh]</t>
  </si>
  <si>
    <t>[€/MWh]</t>
  </si>
  <si>
    <t>Aufschläge gültig bis:</t>
  </si>
  <si>
    <t>Aktuelle OTC-Preise</t>
  </si>
  <si>
    <t xml:space="preserve">Speicherpfad Datei: </t>
  </si>
  <si>
    <t>ja</t>
  </si>
  <si>
    <t>Bemerkung</t>
  </si>
  <si>
    <t>Nach Ausführung Zeile komplett löschen</t>
  </si>
  <si>
    <t>Kunde</t>
  </si>
  <si>
    <t>Lieferzeit-
raum</t>
  </si>
  <si>
    <t>Nächste Kalenderbeschaffung</t>
  </si>
  <si>
    <t>Pricing</t>
  </si>
  <si>
    <t>Hallo @, hier die Preise inkl. Aufschlag:</t>
  </si>
  <si>
    <t>nein</t>
  </si>
  <si>
    <t>Limitorders</t>
  </si>
  <si>
    <t>Berechnung Bindefristaufschläge:</t>
  </si>
  <si>
    <t>Routineaufgaben:</t>
  </si>
  <si>
    <t>&lt;= 1.000</t>
  </si>
  <si>
    <t>&gt;= 1.000</t>
  </si>
  <si>
    <t>+OTC</t>
  </si>
  <si>
    <t>+ Bindefrist</t>
  </si>
  <si>
    <t>Noch X MWh bis zur nächsten Beschaffung</t>
  </si>
  <si>
    <t>Pricing &amp; Vertriebsinfos</t>
  </si>
  <si>
    <t>Base EEX</t>
  </si>
  <si>
    <t>Peak EEX</t>
  </si>
  <si>
    <t>Handelsende</t>
  </si>
  <si>
    <t>Bitte Preise über Teamschat anfragen</t>
  </si>
  <si>
    <t>Rücksprache mit EH notwendig:</t>
  </si>
  <si>
    <t>Aufschlag</t>
  </si>
  <si>
    <t>AllgäuStromPartner - Aufschlagsempfehlung</t>
  </si>
  <si>
    <t>Details</t>
  </si>
  <si>
    <t>Nur Base-Monitoring mit einer maximalen Laufzeit von 14 Tage möglich.</t>
  </si>
  <si>
    <t>Menge
MWh</t>
  </si>
  <si>
    <t>Kauf-Limit
€/MWh</t>
  </si>
  <si>
    <t>Verkauf-Limit
€/MWh</t>
  </si>
  <si>
    <t>Akt. Kurs
€/MWh</t>
  </si>
  <si>
    <t>Aufschlag auf aktuelle OTC-Preise rechnen oder alternativ, Anfrage im Teamschat</t>
  </si>
  <si>
    <t>Vertriebs-Aufschläge Daily Mail.xlsx</t>
  </si>
  <si>
    <t>Limitorder BTB</t>
  </si>
  <si>
    <t>Offene Position Buch BTB</t>
  </si>
  <si>
    <t>Kauf</t>
  </si>
  <si>
    <t>Order gültig
 bis einschließl.</t>
  </si>
  <si>
    <t>Differenz
Kauf-Limit</t>
  </si>
  <si>
    <t>Differenz
Verkauf-Limit</t>
  </si>
  <si>
    <t>Cal30</t>
  </si>
  <si>
    <t>Q1-30</t>
  </si>
  <si>
    <t>Q2-30</t>
  </si>
  <si>
    <t>Q3-30</t>
  </si>
  <si>
    <t>Q4-30</t>
  </si>
  <si>
    <t>Sum30</t>
  </si>
  <si>
    <t>Cal31</t>
  </si>
  <si>
    <t>Q1-31</t>
  </si>
  <si>
    <t>Q2-31</t>
  </si>
  <si>
    <t>Q3-31</t>
  </si>
  <si>
    <t>Q4-31</t>
  </si>
  <si>
    <t>Sum31</t>
  </si>
  <si>
    <t>Cal32</t>
  </si>
  <si>
    <t>Q1-32</t>
  </si>
  <si>
    <t>Q2-32</t>
  </si>
  <si>
    <t>Q3-32</t>
  </si>
  <si>
    <t>Q4-32</t>
  </si>
  <si>
    <t>Sum32</t>
  </si>
  <si>
    <t>Cal33</t>
  </si>
  <si>
    <t>Q1-33</t>
  </si>
  <si>
    <t>Q2-33</t>
  </si>
  <si>
    <t>Q3-33</t>
  </si>
  <si>
    <t>Q4-33</t>
  </si>
  <si>
    <t>Sum33</t>
  </si>
  <si>
    <t>Neue Eintragungen unten anfügen und dann sortieren</t>
  </si>
  <si>
    <t>OP vor Import MM-Report</t>
  </si>
  <si>
    <t>Menge für Lieferjahr in MWh</t>
  </si>
  <si>
    <t>Kauflimit: Preis "&lt;="</t>
  </si>
  <si>
    <t>Preis über Limit</t>
  </si>
  <si>
    <t>aktueller Preis EUR / MWh</t>
  </si>
  <si>
    <t>Datei öffnen:</t>
  </si>
  <si>
    <t>Summe 27-29</t>
  </si>
  <si>
    <r>
      <t>Teams</t>
    </r>
    <r>
      <rPr>
        <b/>
        <i/>
        <sz val="11"/>
        <color theme="1"/>
        <rFont val="Calibri"/>
        <family val="2"/>
        <scheme val="minor"/>
      </rPr>
      <t xml:space="preserve"> Jahrespreise</t>
    </r>
    <r>
      <rPr>
        <i/>
        <sz val="11"/>
        <color theme="1"/>
        <rFont val="Calibri"/>
        <family val="2"/>
        <scheme val="minor"/>
      </rPr>
      <t xml:space="preserve"> (Str+Shift+V)</t>
    </r>
  </si>
  <si>
    <r>
      <t xml:space="preserve">Teams </t>
    </r>
    <r>
      <rPr>
        <b/>
        <i/>
        <sz val="11"/>
        <color theme="1"/>
        <rFont val="Calibri"/>
        <family val="2"/>
        <scheme val="minor"/>
      </rPr>
      <t>Quartalspreise</t>
    </r>
    <r>
      <rPr>
        <i/>
        <sz val="11"/>
        <color theme="1"/>
        <rFont val="Calibri"/>
        <family val="2"/>
        <scheme val="minor"/>
      </rPr>
      <t xml:space="preserve"> (Str+Shift+V)</t>
    </r>
  </si>
  <si>
    <t xml:space="preserve"> </t>
  </si>
  <si>
    <t>Bitte nur Inhalte entfernen, keine Zeilen löschen                -                         EH-Positionen ab Excelzeile 12             -            Daily-Info an Vertrieb bis Excelzeile 11</t>
  </si>
  <si>
    <t>Quartal</t>
  </si>
  <si>
    <t xml:space="preserve">Abweichung </t>
  </si>
  <si>
    <t>Status</t>
  </si>
  <si>
    <t>Settlement Base</t>
  </si>
  <si>
    <t>Heute:</t>
  </si>
  <si>
    <t>Der deutsche Strommarkt zeigt sich gegenüber der Vorwoche im Frontjahr stabil. Base Cal27 handelt aktuell unverändert bei 92,50 €/MWh. Trotz der neutralen Bewegung am langen Ende bleibt das Marktbild kurzfristig deutlich angespannt: Die Hitzewelle, sehr niedrige Windeinspeisung und mögliche Einschränkungen thermischer Erzeugung treiben die Spotpreise, insbesondere in den Abendstunden.
 Gas liefert dagegen wieder Unterstützung. THE Cal27 notiert bei 36,00 €/MWh und damit 2,00 €/MWh über Vorwoche. Stützend wirken der wetterbedingt höhere Kraftwerkseinsatz, weiterhin niedrige Speicherstände und geopolitische Risiken rund um den Nahen Osten. CO₂ Dec26 liegt bei 79,00 €/t und damit 1,00 €/t unter Vorwoche; diese Bewegung ist noch als neutral einzuordnen. 
Kurzfristig bleiben Wetter und Erneuerbaren-Einspeisung der zentrale Treiber. Hohe PV entlastet tagsüber, während schwacher Wind und hohe Last am Abend die Preisspreizung zwischen Mittags- und Abendstunden hoch halten. Insgesamt bleibt Strom nach unten durch Gas und Spotmarktrisiken begrenzt.
Die Hitzewellen-Einordnung stützt sich dabei auf die hohen Day-Ahead-Preise, Viertelstundenpreise über 500 €/MWh und die deutlich unterdurchschnittliche Windprognose.</t>
  </si>
  <si>
    <t>Text1</t>
  </si>
  <si>
    <t>Text2</t>
  </si>
  <si>
    <t>Text8</t>
  </si>
  <si>
    <t>Text9</t>
  </si>
  <si>
    <t>Malermeister A</t>
  </si>
  <si>
    <t>Holz Gmbh</t>
  </si>
  <si>
    <t>Stahl KG</t>
  </si>
  <si>
    <t>Bau AG</t>
  </si>
  <si>
    <t>Vattenfall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</si>
</sst>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mmmm\ yy"/>
    <numFmt numFmtId="167" formatCode="#,##0.0"/>
    <numFmt numFmtId="168" formatCode="[$-407]mmmm\ yy;@"/>
    <numFmt numFmtId="169" formatCode="#,##0.00\ &quot;€/MWh&quot;"/>
    <numFmt numFmtId="170" formatCode="#,##0.000"/>
    <numFmt numFmtId="171" formatCode="dd/mm/yyyy\ ddd\ "/>
    <numFmt numFmtId="172" formatCode="ddd/\ dd/mm/yyyy"/>
    <numFmt numFmtId="173" formatCode="ddd\ dd/mm/yyyy"/>
    <numFmt numFmtId="174" formatCode="0.00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.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2"/>
      <color theme="5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FF7C80"/>
      <name val="Calibri"/>
      <family val="2"/>
      <scheme val="minor"/>
    </font>
    <font>
      <b/>
      <sz val="11"/>
      <color rgb="FFFF7C80"/>
      <name val="Calibri"/>
      <family val="2"/>
      <scheme val="minor"/>
    </font>
    <font>
      <b/>
      <sz val="10"/>
      <color rgb="FFFF7C80"/>
      <name val="Calibri"/>
      <family val="2"/>
      <scheme val="minor"/>
    </font>
    <font>
      <b/>
      <sz val="24"/>
      <color theme="8"/>
      <name val="Calibri"/>
      <family val="2"/>
      <scheme val="minor"/>
    </font>
    <font>
      <b/>
      <sz val="24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660066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i/>
      <sz val="8"/>
      <name val="Calibri"/>
      <family val="2"/>
      <scheme val="minor"/>
    </font>
    <font>
      <sz val="10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dotted">
        <color theme="4"/>
      </left>
      <right/>
      <top/>
      <bottom/>
      <diagonal/>
    </border>
    <border>
      <left/>
      <right style="dotted">
        <color theme="4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thin">
        <color indexed="64"/>
      </bottom>
      <diagonal/>
    </border>
    <border>
      <left/>
      <right style="dotted">
        <color auto="1"/>
      </right>
      <top/>
      <bottom style="thin">
        <color indexed="64"/>
      </bottom>
      <diagonal/>
    </border>
  </borders>
  <cellStyleXfs count="15">
    <xf numFmtId="168" fontId="0" fillId="0" borderId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5" fillId="0" borderId="0"/>
    <xf numFmtId="165" fontId="5" fillId="0" borderId="0" applyFont="0" applyFill="0" applyBorder="0" applyAlignment="0" applyProtection="0"/>
    <xf numFmtId="168" fontId="6" fillId="0" borderId="0"/>
    <xf numFmtId="168" fontId="6" fillId="0" borderId="0"/>
    <xf numFmtId="4" fontId="8" fillId="4" borderId="39" applyNumberFormat="0" applyProtection="0">
      <alignment horizontal="left" vertical="center" indent="1"/>
    </xf>
    <xf numFmtId="168" fontId="9" fillId="0" borderId="0" applyNumberFormat="0" applyFill="0" applyBorder="0" applyAlignment="0" applyProtection="0"/>
    <xf numFmtId="168" fontId="5" fillId="0" borderId="0"/>
    <xf numFmtId="164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1">
    <xf numFmtId="168" fontId="0" fillId="0" borderId="0" xfId="0"/>
    <xf numFmtId="49" fontId="0" fillId="0" borderId="0" xfId="0" applyNumberFormat="1" applyAlignment="1">
      <alignment horizontal="center" vertical="center"/>
    </xf>
    <xf numFmtId="168" fontId="0" fillId="0" borderId="0" xfId="0" applyAlignment="1">
      <alignment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/>
    <xf numFmtId="168" fontId="7" fillId="2" borderId="15" xfId="0" applyFont="1" applyFill="1" applyBorder="1" applyAlignment="1" applyProtection="1">
      <alignment horizontal="center"/>
      <protection locked="0"/>
    </xf>
    <xf numFmtId="168" fontId="7" fillId="2" borderId="16" xfId="0" applyFont="1" applyFill="1" applyBorder="1" applyAlignment="1" applyProtection="1">
      <alignment horizontal="center"/>
      <protection locked="0"/>
    </xf>
    <xf numFmtId="168" fontId="7" fillId="2" borderId="9" xfId="0" applyFont="1" applyFill="1" applyBorder="1" applyAlignment="1" applyProtection="1">
      <alignment horizontal="center"/>
      <protection locked="0"/>
    </xf>
    <xf numFmtId="168" fontId="7" fillId="2" borderId="17" xfId="0" applyFont="1" applyFill="1" applyBorder="1" applyAlignment="1" applyProtection="1">
      <alignment horizontal="center"/>
      <protection locked="0"/>
    </xf>
    <xf numFmtId="166" fontId="0" fillId="2" borderId="18" xfId="0" applyNumberFormat="1" applyFill="1" applyBorder="1"/>
    <xf numFmtId="166" fontId="0" fillId="2" borderId="22" xfId="0" applyNumberFormat="1" applyFill="1" applyBorder="1"/>
    <xf numFmtId="166" fontId="0" fillId="2" borderId="25" xfId="0" applyNumberFormat="1" applyFill="1" applyBorder="1"/>
    <xf numFmtId="168" fontId="7" fillId="2" borderId="26" xfId="0" applyFont="1" applyFill="1" applyBorder="1" applyAlignment="1" applyProtection="1">
      <alignment horizontal="right"/>
      <protection locked="0"/>
    </xf>
    <xf numFmtId="3" fontId="7" fillId="3" borderId="27" xfId="0" applyNumberFormat="1" applyFont="1" applyFill="1" applyBorder="1" applyAlignment="1">
      <alignment horizontal="center"/>
    </xf>
    <xf numFmtId="3" fontId="7" fillId="3" borderId="28" xfId="0" applyNumberFormat="1" applyFont="1" applyFill="1" applyBorder="1" applyAlignment="1">
      <alignment horizontal="center"/>
    </xf>
    <xf numFmtId="3" fontId="7" fillId="3" borderId="29" xfId="0" applyNumberFormat="1" applyFont="1" applyFill="1" applyBorder="1" applyAlignment="1">
      <alignment horizontal="center"/>
    </xf>
    <xf numFmtId="166" fontId="7" fillId="2" borderId="18" xfId="0" applyNumberFormat="1" applyFont="1" applyFill="1" applyBorder="1" applyAlignment="1">
      <alignment horizontal="right"/>
    </xf>
    <xf numFmtId="3" fontId="7" fillId="3" borderId="19" xfId="0" applyNumberFormat="1" applyFont="1" applyFill="1" applyBorder="1" applyAlignment="1">
      <alignment horizontal="center"/>
    </xf>
    <xf numFmtId="3" fontId="7" fillId="3" borderId="20" xfId="0" applyNumberFormat="1" applyFont="1" applyFill="1" applyBorder="1" applyAlignment="1">
      <alignment horizontal="center"/>
    </xf>
    <xf numFmtId="3" fontId="7" fillId="3" borderId="21" xfId="0" applyNumberFormat="1" applyFont="1" applyFill="1" applyBorder="1" applyAlignment="1">
      <alignment horizontal="center"/>
    </xf>
    <xf numFmtId="166" fontId="7" fillId="2" borderId="30" xfId="0" applyNumberFormat="1" applyFont="1" applyFill="1" applyBorder="1" applyAlignment="1">
      <alignment horizontal="right"/>
    </xf>
    <xf numFmtId="3" fontId="7" fillId="3" borderId="31" xfId="0" applyNumberFormat="1" applyFont="1" applyFill="1" applyBorder="1" applyAlignment="1">
      <alignment horizontal="center"/>
    </xf>
    <xf numFmtId="3" fontId="7" fillId="3" borderId="24" xfId="0" applyNumberFormat="1" applyFont="1" applyFill="1" applyBorder="1" applyAlignment="1">
      <alignment horizontal="center"/>
    </xf>
    <xf numFmtId="3" fontId="7" fillId="3" borderId="23" xfId="0" applyNumberFormat="1" applyFont="1" applyFill="1" applyBorder="1" applyAlignment="1">
      <alignment horizontal="center"/>
    </xf>
    <xf numFmtId="3" fontId="7" fillId="3" borderId="7" xfId="0" applyNumberFormat="1" applyFont="1" applyFill="1" applyBorder="1" applyAlignment="1">
      <alignment horizontal="center"/>
    </xf>
    <xf numFmtId="166" fontId="7" fillId="2" borderId="32" xfId="0" applyNumberFormat="1" applyFont="1" applyFill="1" applyBorder="1" applyAlignment="1">
      <alignment horizontal="right"/>
    </xf>
    <xf numFmtId="3" fontId="7" fillId="3" borderId="33" xfId="0" applyNumberFormat="1" applyFont="1" applyFill="1" applyBorder="1" applyAlignment="1">
      <alignment horizontal="center"/>
    </xf>
    <xf numFmtId="3" fontId="7" fillId="3" borderId="34" xfId="0" applyNumberFormat="1" applyFont="1" applyFill="1" applyBorder="1" applyAlignment="1">
      <alignment horizontal="center"/>
    </xf>
    <xf numFmtId="3" fontId="7" fillId="3" borderId="35" xfId="0" applyNumberFormat="1" applyFont="1" applyFill="1" applyBorder="1" applyAlignment="1">
      <alignment horizontal="center"/>
    </xf>
    <xf numFmtId="3" fontId="7" fillId="3" borderId="11" xfId="0" applyNumberFormat="1" applyFont="1" applyFill="1" applyBorder="1" applyAlignment="1">
      <alignment horizontal="center"/>
    </xf>
    <xf numFmtId="166" fontId="7" fillId="2" borderId="36" xfId="0" applyNumberFormat="1" applyFont="1" applyFill="1" applyBorder="1" applyAlignment="1">
      <alignment horizontal="right"/>
    </xf>
    <xf numFmtId="168" fontId="0" fillId="0" borderId="0" xfId="0" applyAlignment="1">
      <alignment horizontal="center"/>
    </xf>
    <xf numFmtId="3" fontId="7" fillId="3" borderId="37" xfId="0" applyNumberFormat="1" applyFont="1" applyFill="1" applyBorder="1" applyAlignment="1">
      <alignment horizontal="center"/>
    </xf>
    <xf numFmtId="3" fontId="7" fillId="3" borderId="38" xfId="0" applyNumberFormat="1" applyFont="1" applyFill="1" applyBorder="1" applyAlignment="1">
      <alignment horizontal="center"/>
    </xf>
    <xf numFmtId="168" fontId="7" fillId="2" borderId="12" xfId="0" applyFont="1" applyFill="1" applyBorder="1" applyAlignment="1" applyProtection="1">
      <alignment horizontal="center"/>
      <protection locked="0"/>
    </xf>
    <xf numFmtId="168" fontId="7" fillId="2" borderId="12" xfId="0" applyFont="1" applyFill="1" applyBorder="1" applyProtection="1">
      <protection locked="0"/>
    </xf>
    <xf numFmtId="168" fontId="7" fillId="2" borderId="14" xfId="0" applyFont="1" applyFill="1" applyBorder="1" applyProtection="1">
      <protection locked="0"/>
    </xf>
    <xf numFmtId="168" fontId="7" fillId="2" borderId="12" xfId="0" applyFont="1" applyFill="1" applyBorder="1"/>
    <xf numFmtId="168" fontId="7" fillId="2" borderId="13" xfId="0" applyFont="1" applyFill="1" applyBorder="1"/>
    <xf numFmtId="168" fontId="7" fillId="2" borderId="14" xfId="0" applyFont="1" applyFill="1" applyBorder="1"/>
    <xf numFmtId="168" fontId="3" fillId="0" borderId="0" xfId="0" applyFont="1" applyAlignment="1">
      <alignment horizontal="center" vertical="center"/>
    </xf>
    <xf numFmtId="168" fontId="3" fillId="0" borderId="0" xfId="0" applyFont="1"/>
    <xf numFmtId="168" fontId="9" fillId="0" borderId="0" xfId="8" applyAlignment="1">
      <alignment horizontal="right"/>
    </xf>
    <xf numFmtId="4" fontId="0" fillId="5" borderId="0" xfId="0" applyNumberFormat="1" applyFill="1" applyAlignment="1">
      <alignment horizontal="center" vertical="center"/>
    </xf>
    <xf numFmtId="168" fontId="10" fillId="6" borderId="0" xfId="0" applyFont="1" applyFill="1"/>
    <xf numFmtId="168" fontId="9" fillId="0" borderId="0" xfId="8" applyAlignment="1">
      <alignment horizontal="left"/>
    </xf>
    <xf numFmtId="3" fontId="11" fillId="6" borderId="0" xfId="0" applyNumberFormat="1" applyFont="1" applyFill="1" applyAlignment="1">
      <alignment vertical="center"/>
    </xf>
    <xf numFmtId="3" fontId="11" fillId="6" borderId="10" xfId="0" applyNumberFormat="1" applyFont="1" applyFill="1" applyBorder="1" applyAlignment="1">
      <alignment vertical="center"/>
    </xf>
    <xf numFmtId="167" fontId="11" fillId="6" borderId="0" xfId="0" applyNumberFormat="1" applyFont="1" applyFill="1" applyAlignment="1">
      <alignment vertical="center"/>
    </xf>
    <xf numFmtId="168" fontId="0" fillId="6" borderId="0" xfId="0" applyFill="1"/>
    <xf numFmtId="168" fontId="12" fillId="6" borderId="0" xfId="0" applyFont="1" applyFill="1" applyAlignment="1">
      <alignment horizontal="left" vertical="center"/>
    </xf>
    <xf numFmtId="168" fontId="12" fillId="6" borderId="0" xfId="0" applyFont="1" applyFill="1" applyAlignment="1">
      <alignment vertical="center"/>
    </xf>
    <xf numFmtId="14" fontId="0" fillId="7" borderId="0" xfId="0" applyNumberFormat="1" applyFill="1" applyAlignment="1">
      <alignment horizontal="right" vertical="center"/>
    </xf>
    <xf numFmtId="168" fontId="0" fillId="7" borderId="0" xfId="0" applyFill="1" applyAlignment="1">
      <alignment horizontal="center" vertical="center"/>
    </xf>
    <xf numFmtId="3" fontId="0" fillId="6" borderId="10" xfId="0" applyNumberFormat="1" applyFill="1" applyBorder="1" applyAlignment="1">
      <alignment vertical="center"/>
    </xf>
    <xf numFmtId="3" fontId="0" fillId="6" borderId="4" xfId="0" applyNumberFormat="1" applyFill="1" applyBorder="1" applyAlignment="1">
      <alignment vertical="center"/>
    </xf>
    <xf numFmtId="3" fontId="0" fillId="6" borderId="0" xfId="0" applyNumberFormat="1" applyFill="1" applyAlignment="1">
      <alignment vertical="center"/>
    </xf>
    <xf numFmtId="14" fontId="0" fillId="7" borderId="2" xfId="0" applyNumberFormat="1" applyFill="1" applyBorder="1" applyAlignment="1">
      <alignment horizontal="right" vertical="center"/>
    </xf>
    <xf numFmtId="168" fontId="0" fillId="7" borderId="2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vertical="center"/>
    </xf>
    <xf numFmtId="3" fontId="0" fillId="6" borderId="6" xfId="0" applyNumberFormat="1" applyFill="1" applyBorder="1" applyAlignment="1">
      <alignment vertical="center"/>
    </xf>
    <xf numFmtId="3" fontId="0" fillId="6" borderId="0" xfId="0" applyNumberFormat="1" applyFill="1"/>
    <xf numFmtId="3" fontId="10" fillId="6" borderId="5" xfId="0" applyNumberFormat="1" applyFont="1" applyFill="1" applyBorder="1" applyAlignment="1">
      <alignment vertical="center"/>
    </xf>
    <xf numFmtId="3" fontId="10" fillId="6" borderId="0" xfId="0" applyNumberFormat="1" applyFont="1" applyFill="1" applyAlignment="1">
      <alignment vertical="center"/>
    </xf>
    <xf numFmtId="14" fontId="0" fillId="7" borderId="0" xfId="0" applyNumberFormat="1" applyFill="1" applyAlignment="1">
      <alignment vertical="center"/>
    </xf>
    <xf numFmtId="168" fontId="0" fillId="5" borderId="0" xfId="0" applyFill="1" applyAlignment="1">
      <alignment vertical="center"/>
    </xf>
    <xf numFmtId="168" fontId="0" fillId="0" borderId="0" xfId="0" applyAlignment="1">
      <alignment horizontal="center" vertical="center"/>
    </xf>
    <xf numFmtId="168" fontId="14" fillId="6" borderId="0" xfId="0" applyFont="1" applyFill="1" applyAlignment="1">
      <alignment vertical="center"/>
    </xf>
    <xf numFmtId="14" fontId="0" fillId="5" borderId="0" xfId="0" applyNumberFormat="1" applyFill="1" applyAlignment="1">
      <alignment horizontal="left" vertical="center"/>
    </xf>
    <xf numFmtId="14" fontId="0" fillId="5" borderId="2" xfId="0" applyNumberFormat="1" applyFill="1" applyBorder="1" applyAlignment="1">
      <alignment horizontal="left" vertical="center"/>
    </xf>
    <xf numFmtId="3" fontId="16" fillId="6" borderId="5" xfId="0" applyNumberFormat="1" applyFont="1" applyFill="1" applyBorder="1" applyAlignment="1">
      <alignment vertical="center"/>
    </xf>
    <xf numFmtId="4" fontId="11" fillId="6" borderId="0" xfId="0" applyNumberFormat="1" applyFont="1" applyFill="1" applyAlignment="1">
      <alignment vertical="center"/>
    </xf>
    <xf numFmtId="4" fontId="11" fillId="6" borderId="10" xfId="0" applyNumberFormat="1" applyFont="1" applyFill="1" applyBorder="1" applyAlignment="1">
      <alignment vertical="center"/>
    </xf>
    <xf numFmtId="3" fontId="0" fillId="3" borderId="23" xfId="0" applyNumberFormat="1" applyFill="1" applyBorder="1" applyAlignment="1">
      <alignment horizontal="center"/>
    </xf>
    <xf numFmtId="3" fontId="0" fillId="3" borderId="24" xfId="0" applyNumberFormat="1" applyFill="1" applyBorder="1" applyAlignment="1">
      <alignment horizontal="center"/>
    </xf>
    <xf numFmtId="3" fontId="0" fillId="3" borderId="7" xfId="0" applyNumberFormat="1" applyFill="1" applyBorder="1" applyAlignment="1">
      <alignment horizontal="center"/>
    </xf>
    <xf numFmtId="3" fontId="0" fillId="3" borderId="16" xfId="0" applyNumberFormat="1" applyFill="1" applyBorder="1" applyAlignment="1">
      <alignment horizontal="center"/>
    </xf>
    <xf numFmtId="3" fontId="0" fillId="3" borderId="17" xfId="0" applyNumberFormat="1" applyFill="1" applyBorder="1" applyAlignment="1">
      <alignment horizontal="center"/>
    </xf>
    <xf numFmtId="3" fontId="0" fillId="3" borderId="9" xfId="0" applyNumberFormat="1" applyFill="1" applyBorder="1" applyAlignment="1">
      <alignment horizontal="center"/>
    </xf>
    <xf numFmtId="3" fontId="0" fillId="3" borderId="19" xfId="0" applyNumberFormat="1" applyFill="1" applyBorder="1" applyAlignment="1">
      <alignment horizontal="center"/>
    </xf>
    <xf numFmtId="3" fontId="0" fillId="3" borderId="21" xfId="0" applyNumberFormat="1" applyFill="1" applyBorder="1" applyAlignment="1">
      <alignment horizontal="center"/>
    </xf>
    <xf numFmtId="3" fontId="0" fillId="3" borderId="20" xfId="0" applyNumberFormat="1" applyFill="1" applyBorder="1" applyAlignment="1">
      <alignment horizontal="center"/>
    </xf>
    <xf numFmtId="4" fontId="25" fillId="6" borderId="5" xfId="0" applyNumberFormat="1" applyFont="1" applyFill="1" applyBorder="1" applyAlignment="1">
      <alignment horizontal="center" vertical="center"/>
    </xf>
    <xf numFmtId="4" fontId="25" fillId="6" borderId="0" xfId="0" applyNumberFormat="1" applyFont="1" applyFill="1" applyAlignment="1">
      <alignment horizontal="center" vertical="center"/>
    </xf>
    <xf numFmtId="4" fontId="25" fillId="6" borderId="10" xfId="0" applyNumberFormat="1" applyFont="1" applyFill="1" applyBorder="1" applyAlignment="1">
      <alignment horizontal="center" vertical="center"/>
    </xf>
    <xf numFmtId="168" fontId="23" fillId="6" borderId="0" xfId="0" applyFont="1" applyFill="1"/>
    <xf numFmtId="14" fontId="10" fillId="7" borderId="0" xfId="0" applyNumberFormat="1" applyFont="1" applyFill="1" applyAlignment="1">
      <alignment horizontal="right" vertical="center"/>
    </xf>
    <xf numFmtId="168" fontId="10" fillId="5" borderId="0" xfId="0" applyFont="1" applyFill="1" applyAlignment="1">
      <alignment horizontal="left" vertical="center"/>
    </xf>
    <xf numFmtId="168" fontId="10" fillId="7" borderId="0" xfId="0" applyFont="1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168" fontId="0" fillId="9" borderId="0" xfId="0" applyFill="1" applyAlignment="1">
      <alignment horizontal="center" vertical="center"/>
    </xf>
    <xf numFmtId="4" fontId="10" fillId="9" borderId="0" xfId="0" applyNumberFormat="1" applyFont="1" applyFill="1" applyAlignment="1">
      <alignment horizontal="center" vertical="center"/>
    </xf>
    <xf numFmtId="168" fontId="10" fillId="9" borderId="0" xfId="0" applyFont="1" applyFill="1" applyAlignment="1">
      <alignment horizontal="center" vertical="center"/>
    </xf>
    <xf numFmtId="168" fontId="25" fillId="6" borderId="0" xfId="0" applyFont="1" applyFill="1" applyAlignment="1">
      <alignment horizontal="center" vertical="center" wrapText="1"/>
    </xf>
    <xf numFmtId="4" fontId="25" fillId="6" borderId="4" xfId="0" applyNumberFormat="1" applyFont="1" applyFill="1" applyBorder="1" applyAlignment="1">
      <alignment horizontal="center" vertical="center"/>
    </xf>
    <xf numFmtId="171" fontId="0" fillId="9" borderId="0" xfId="0" applyNumberFormat="1" applyFill="1" applyAlignment="1">
      <alignment horizontal="left" vertical="center" indent="1"/>
    </xf>
    <xf numFmtId="168" fontId="30" fillId="7" borderId="0" xfId="0" applyFont="1" applyFill="1" applyAlignment="1">
      <alignment horizontal="center" vertical="center"/>
    </xf>
    <xf numFmtId="168" fontId="0" fillId="10" borderId="0" xfId="0" applyFill="1"/>
    <xf numFmtId="168" fontId="21" fillId="10" borderId="3" xfId="0" applyFont="1" applyFill="1" applyBorder="1" applyAlignment="1">
      <alignment horizontal="center" vertical="center"/>
    </xf>
    <xf numFmtId="168" fontId="21" fillId="10" borderId="8" xfId="0" applyFont="1" applyFill="1" applyBorder="1" applyAlignment="1">
      <alignment horizontal="center" vertical="center"/>
    </xf>
    <xf numFmtId="168" fontId="21" fillId="10" borderId="2" xfId="0" applyFont="1" applyFill="1" applyBorder="1" applyAlignment="1">
      <alignment horizontal="center" vertical="center"/>
    </xf>
    <xf numFmtId="168" fontId="21" fillId="10" borderId="42" xfId="0" applyFont="1" applyFill="1" applyBorder="1" applyAlignment="1">
      <alignment horizontal="center" vertical="center"/>
    </xf>
    <xf numFmtId="168" fontId="23" fillId="10" borderId="7" xfId="0" applyFont="1" applyFill="1" applyBorder="1" applyAlignment="1">
      <alignment horizontal="center" vertical="center"/>
    </xf>
    <xf numFmtId="168" fontId="23" fillId="10" borderId="10" xfId="0" applyFont="1" applyFill="1" applyBorder="1" applyAlignment="1">
      <alignment horizontal="center" vertical="center"/>
    </xf>
    <xf numFmtId="168" fontId="0" fillId="10" borderId="43" xfId="0" applyFill="1" applyBorder="1"/>
    <xf numFmtId="168" fontId="26" fillId="6" borderId="5" xfId="0" applyFont="1" applyFill="1" applyBorder="1" applyAlignment="1">
      <alignment horizontal="center" vertical="center"/>
    </xf>
    <xf numFmtId="168" fontId="26" fillId="6" borderId="10" xfId="0" applyFont="1" applyFill="1" applyBorder="1" applyAlignment="1">
      <alignment horizontal="center" vertical="center"/>
    </xf>
    <xf numFmtId="168" fontId="31" fillId="6" borderId="4" xfId="0" applyFont="1" applyFill="1" applyBorder="1" applyAlignment="1">
      <alignment horizontal="center" vertical="center"/>
    </xf>
    <xf numFmtId="168" fontId="31" fillId="6" borderId="5" xfId="0" applyFont="1" applyFill="1" applyBorder="1" applyAlignment="1">
      <alignment horizontal="center" vertical="center"/>
    </xf>
    <xf numFmtId="168" fontId="31" fillId="6" borderId="10" xfId="0" applyFont="1" applyFill="1" applyBorder="1" applyAlignment="1">
      <alignment horizontal="center" vertical="center"/>
    </xf>
    <xf numFmtId="168" fontId="12" fillId="12" borderId="0" xfId="0" applyFont="1" applyFill="1" applyAlignment="1">
      <alignment horizontal="left" vertical="center"/>
    </xf>
    <xf numFmtId="14" fontId="12" fillId="12" borderId="0" xfId="0" applyNumberFormat="1" applyFont="1" applyFill="1" applyAlignment="1">
      <alignment horizontal="center" vertical="center"/>
    </xf>
    <xf numFmtId="1" fontId="12" fillId="12" borderId="0" xfId="0" applyNumberFormat="1" applyFont="1" applyFill="1" applyAlignment="1">
      <alignment horizontal="center" vertical="center"/>
    </xf>
    <xf numFmtId="168" fontId="12" fillId="12" borderId="0" xfId="0" applyFont="1" applyFill="1" applyAlignment="1">
      <alignment horizontal="center" vertical="center"/>
    </xf>
    <xf numFmtId="168" fontId="15" fillId="12" borderId="0" xfId="0" applyFont="1" applyFill="1" applyAlignment="1">
      <alignment horizontal="left" vertical="center"/>
    </xf>
    <xf numFmtId="168" fontId="12" fillId="12" borderId="40" xfId="0" applyFont="1" applyFill="1" applyBorder="1" applyAlignment="1">
      <alignment horizontal="left" vertical="center"/>
    </xf>
    <xf numFmtId="168" fontId="12" fillId="12" borderId="41" xfId="0" applyFont="1" applyFill="1" applyBorder="1" applyAlignment="1">
      <alignment horizontal="left" vertical="center"/>
    </xf>
    <xf numFmtId="1" fontId="12" fillId="12" borderId="41" xfId="0" applyNumberFormat="1" applyFont="1" applyFill="1" applyBorder="1" applyAlignment="1">
      <alignment horizontal="center" vertical="center"/>
    </xf>
    <xf numFmtId="1" fontId="12" fillId="12" borderId="42" xfId="0" applyNumberFormat="1" applyFont="1" applyFill="1" applyBorder="1" applyAlignment="1">
      <alignment horizontal="center" vertical="center"/>
    </xf>
    <xf numFmtId="4" fontId="21" fillId="6" borderId="5" xfId="0" applyNumberFormat="1" applyFont="1" applyFill="1" applyBorder="1" applyAlignment="1">
      <alignment horizontal="center" vertical="center"/>
    </xf>
    <xf numFmtId="168" fontId="21" fillId="11" borderId="0" xfId="0" applyFont="1" applyFill="1" applyAlignment="1">
      <alignment horizontal="left" vertical="center"/>
    </xf>
    <xf numFmtId="168" fontId="0" fillId="11" borderId="0" xfId="0" applyFill="1" applyAlignment="1">
      <alignment horizontal="center" vertical="center"/>
    </xf>
    <xf numFmtId="168" fontId="32" fillId="11" borderId="0" xfId="0" applyFont="1" applyFill="1" applyAlignment="1">
      <alignment horizontal="left" vertical="center"/>
    </xf>
    <xf numFmtId="168" fontId="21" fillId="10" borderId="1" xfId="0" applyFont="1" applyFill="1" applyBorder="1" applyAlignment="1">
      <alignment horizontal="center" vertical="center"/>
    </xf>
    <xf numFmtId="168" fontId="10" fillId="0" borderId="0" xfId="0" applyFont="1" applyAlignment="1">
      <alignment vertical="center"/>
    </xf>
    <xf numFmtId="168" fontId="18" fillId="6" borderId="0" xfId="0" applyFont="1" applyFill="1"/>
    <xf numFmtId="168" fontId="0" fillId="6" borderId="0" xfId="0" applyFill="1" applyAlignment="1">
      <alignment horizontal="center"/>
    </xf>
    <xf numFmtId="3" fontId="0" fillId="9" borderId="0" xfId="0" applyNumberFormat="1" applyFill="1" applyAlignment="1">
      <alignment horizontal="center" vertical="center"/>
    </xf>
    <xf numFmtId="0" fontId="0" fillId="0" borderId="0" xfId="0" applyNumberFormat="1"/>
    <xf numFmtId="3" fontId="10" fillId="6" borderId="10" xfId="0" applyNumberFormat="1" applyFont="1" applyFill="1" applyBorder="1" applyAlignment="1">
      <alignment vertical="center"/>
    </xf>
    <xf numFmtId="168" fontId="2" fillId="0" borderId="0" xfId="0" applyFont="1" applyAlignment="1">
      <alignment vertical="center" wrapText="1"/>
    </xf>
    <xf numFmtId="14" fontId="10" fillId="7" borderId="0" xfId="0" applyNumberFormat="1" applyFont="1" applyFill="1" applyAlignment="1">
      <alignment vertical="center"/>
    </xf>
    <xf numFmtId="168" fontId="10" fillId="5" borderId="0" xfId="0" applyFont="1" applyFill="1" applyAlignment="1">
      <alignment vertical="center"/>
    </xf>
    <xf numFmtId="49" fontId="0" fillId="0" borderId="0" xfId="0" applyNumberFormat="1" applyAlignment="1">
      <alignment horizontal="left" vertical="center"/>
    </xf>
    <xf numFmtId="1" fontId="12" fillId="8" borderId="0" xfId="0" applyNumberFormat="1" applyFont="1" applyFill="1" applyAlignment="1">
      <alignment horizontal="center" vertical="center"/>
    </xf>
    <xf numFmtId="168" fontId="0" fillId="6" borderId="0" xfId="0" applyFill="1" applyAlignment="1">
      <alignment horizontal="left" vertical="center"/>
    </xf>
    <xf numFmtId="168" fontId="0" fillId="6" borderId="44" xfId="0" applyFill="1" applyBorder="1"/>
    <xf numFmtId="168" fontId="0" fillId="6" borderId="45" xfId="0" applyFill="1" applyBorder="1"/>
    <xf numFmtId="168" fontId="0" fillId="9" borderId="0" xfId="0" applyFill="1" applyAlignment="1">
      <alignment vertical="center"/>
    </xf>
    <xf numFmtId="0" fontId="0" fillId="6" borderId="0" xfId="0" applyNumberFormat="1" applyFill="1"/>
    <xf numFmtId="0" fontId="0" fillId="6" borderId="0" xfId="12" applyNumberFormat="1" applyFont="1" applyFill="1"/>
    <xf numFmtId="0" fontId="0" fillId="6" borderId="0" xfId="13" applyNumberFormat="1" applyFont="1" applyFill="1"/>
    <xf numFmtId="0" fontId="0" fillId="9" borderId="0" xfId="0" applyNumberFormat="1" applyFill="1" applyAlignment="1">
      <alignment horizontal="center" vertical="center"/>
    </xf>
    <xf numFmtId="168" fontId="0" fillId="6" borderId="0" xfId="0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13" applyNumberFormat="1" applyFont="1" applyFill="1" applyBorder="1"/>
    <xf numFmtId="0" fontId="0" fillId="6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left" vertical="center"/>
    </xf>
    <xf numFmtId="0" fontId="0" fillId="6" borderId="0" xfId="0" applyNumberFormat="1" applyFill="1" applyAlignment="1">
      <alignment horizontal="left" vertical="center"/>
    </xf>
    <xf numFmtId="2" fontId="0" fillId="6" borderId="0" xfId="0" applyNumberFormat="1" applyFill="1" applyAlignment="1">
      <alignment horizontal="left" vertical="center"/>
    </xf>
    <xf numFmtId="0" fontId="0" fillId="6" borderId="45" xfId="0" applyNumberFormat="1" applyFill="1" applyBorder="1"/>
    <xf numFmtId="168" fontId="0" fillId="6" borderId="47" xfId="0" applyFill="1" applyBorder="1"/>
    <xf numFmtId="168" fontId="0" fillId="6" borderId="48" xfId="0" applyFill="1" applyBorder="1"/>
    <xf numFmtId="1" fontId="12" fillId="6" borderId="0" xfId="0" applyNumberFormat="1" applyFont="1" applyFill="1" applyAlignment="1">
      <alignment horizontal="center" vertical="center"/>
    </xf>
    <xf numFmtId="168" fontId="35" fillId="12" borderId="0" xfId="0" applyFont="1" applyFill="1" applyAlignment="1">
      <alignment vertical="center"/>
    </xf>
    <xf numFmtId="168" fontId="35" fillId="12" borderId="5" xfId="0" applyFont="1" applyFill="1" applyBorder="1" applyAlignment="1">
      <alignment vertical="center"/>
    </xf>
    <xf numFmtId="168" fontId="3" fillId="6" borderId="0" xfId="0" applyFont="1" applyFill="1"/>
    <xf numFmtId="14" fontId="0" fillId="6" borderId="0" xfId="0" applyNumberFormat="1" applyFill="1" applyAlignment="1">
      <alignment horizontal="center"/>
    </xf>
    <xf numFmtId="168" fontId="9" fillId="6" borderId="0" xfId="8" applyFill="1"/>
    <xf numFmtId="168" fontId="27" fillId="6" borderId="0" xfId="8" applyFont="1" applyFill="1"/>
    <xf numFmtId="2" fontId="23" fillId="10" borderId="7" xfId="0" applyNumberFormat="1" applyFont="1" applyFill="1" applyBorder="1" applyAlignment="1">
      <alignment horizontal="center" vertical="center"/>
    </xf>
    <xf numFmtId="168" fontId="0" fillId="10" borderId="4" xfId="0" applyFill="1" applyBorder="1"/>
    <xf numFmtId="168" fontId="20" fillId="10" borderId="0" xfId="0" applyFont="1" applyFill="1" applyAlignment="1">
      <alignment horizontal="left"/>
    </xf>
    <xf numFmtId="168" fontId="20" fillId="10" borderId="0" xfId="0" applyFont="1" applyFill="1"/>
    <xf numFmtId="168" fontId="31" fillId="6" borderId="0" xfId="0" applyFont="1" applyFill="1" applyAlignment="1">
      <alignment vertical="center" wrapText="1"/>
    </xf>
    <xf numFmtId="168" fontId="25" fillId="6" borderId="0" xfId="0" applyFont="1" applyFill="1" applyAlignment="1">
      <alignment vertical="center" wrapText="1"/>
    </xf>
    <xf numFmtId="2" fontId="23" fillId="10" borderId="11" xfId="0" applyNumberFormat="1" applyFont="1" applyFill="1" applyBorder="1" applyAlignment="1">
      <alignment horizontal="center" vertical="center"/>
    </xf>
    <xf numFmtId="168" fontId="37" fillId="12" borderId="0" xfId="0" applyFont="1" applyFill="1" applyAlignment="1">
      <alignment vertical="center"/>
    </xf>
    <xf numFmtId="1" fontId="0" fillId="0" borderId="0" xfId="0" applyNumberFormat="1" applyAlignment="1">
      <alignment horizontal="left" vertical="center"/>
    </xf>
    <xf numFmtId="168" fontId="3" fillId="6" borderId="0" xfId="0" applyFont="1" applyFill="1" applyAlignment="1">
      <alignment horizontal="center" vertical="center"/>
    </xf>
    <xf numFmtId="1" fontId="3" fillId="6" borderId="0" xfId="0" applyNumberFormat="1" applyFont="1" applyFill="1" applyAlignment="1">
      <alignment horizontal="center" vertical="center"/>
    </xf>
    <xf numFmtId="4" fontId="25" fillId="9" borderId="3" xfId="0" applyNumberFormat="1" applyFont="1" applyFill="1" applyBorder="1" applyAlignment="1">
      <alignment horizontal="center" vertical="center"/>
    </xf>
    <xf numFmtId="4" fontId="25" fillId="9" borderId="8" xfId="0" applyNumberFormat="1" applyFont="1" applyFill="1" applyBorder="1" applyAlignment="1">
      <alignment horizontal="center" vertical="center"/>
    </xf>
    <xf numFmtId="4" fontId="25" fillId="9" borderId="6" xfId="0" applyNumberFormat="1" applyFont="1" applyFill="1" applyBorder="1" applyAlignment="1">
      <alignment horizontal="center" vertical="center"/>
    </xf>
    <xf numFmtId="4" fontId="11" fillId="6" borderId="10" xfId="0" applyNumberFormat="1" applyFont="1" applyFill="1" applyBorder="1" applyAlignment="1">
      <alignment horizontal="center" vertical="center"/>
    </xf>
    <xf numFmtId="3" fontId="36" fillId="6" borderId="4" xfId="0" applyNumberFormat="1" applyFont="1" applyFill="1" applyBorder="1" applyAlignment="1">
      <alignment horizontal="center" vertical="center"/>
    </xf>
    <xf numFmtId="168" fontId="19" fillId="6" borderId="0" xfId="0" applyFont="1" applyFill="1" applyAlignment="1">
      <alignment vertical="center"/>
    </xf>
    <xf numFmtId="168" fontId="39" fillId="6" borderId="0" xfId="0" applyFont="1" applyFill="1" applyAlignment="1">
      <alignment vertical="center"/>
    </xf>
    <xf numFmtId="168" fontId="22" fillId="6" borderId="50" xfId="0" applyFont="1" applyFill="1" applyBorder="1" applyAlignment="1">
      <alignment horizontal="left" vertical="center"/>
    </xf>
    <xf numFmtId="168" fontId="22" fillId="6" borderId="50" xfId="0" applyFont="1" applyFill="1" applyBorder="1" applyAlignment="1">
      <alignment horizontal="center" vertical="center"/>
    </xf>
    <xf numFmtId="168" fontId="0" fillId="6" borderId="50" xfId="0" applyFill="1" applyBorder="1"/>
    <xf numFmtId="168" fontId="23" fillId="6" borderId="5" xfId="0" applyFont="1" applyFill="1" applyBorder="1" applyAlignment="1">
      <alignment horizontal="center" vertical="center"/>
    </xf>
    <xf numFmtId="168" fontId="23" fillId="6" borderId="10" xfId="0" applyFont="1" applyFill="1" applyBorder="1" applyAlignment="1">
      <alignment horizontal="center" vertical="center"/>
    </xf>
    <xf numFmtId="168" fontId="23" fillId="6" borderId="4" xfId="0" applyFont="1" applyFill="1" applyBorder="1" applyAlignment="1">
      <alignment horizontal="left" vertical="center"/>
    </xf>
    <xf numFmtId="168" fontId="23" fillId="6" borderId="3" xfId="0" applyFont="1" applyFill="1" applyBorder="1" applyAlignment="1">
      <alignment horizontal="center" vertical="center"/>
    </xf>
    <xf numFmtId="168" fontId="23" fillId="6" borderId="8" xfId="0" applyFont="1" applyFill="1" applyBorder="1" applyAlignment="1">
      <alignment horizontal="center" vertical="center"/>
    </xf>
    <xf numFmtId="168" fontId="23" fillId="6" borderId="6" xfId="0" applyFont="1" applyFill="1" applyBorder="1" applyAlignment="1">
      <alignment horizontal="center" vertical="center"/>
    </xf>
    <xf numFmtId="4" fontId="23" fillId="6" borderId="5" xfId="0" applyNumberFormat="1" applyFont="1" applyFill="1" applyBorder="1" applyAlignment="1">
      <alignment horizontal="center" vertical="center"/>
    </xf>
    <xf numFmtId="4" fontId="23" fillId="6" borderId="3" xfId="0" applyNumberFormat="1" applyFont="1" applyFill="1" applyBorder="1" applyAlignment="1">
      <alignment horizontal="center" vertical="center"/>
    </xf>
    <xf numFmtId="168" fontId="31" fillId="6" borderId="0" xfId="0" applyFont="1" applyFill="1" applyAlignment="1">
      <alignment horizontal="center" vertical="center"/>
    </xf>
    <xf numFmtId="168" fontId="25" fillId="6" borderId="5" xfId="0" applyFont="1" applyFill="1" applyBorder="1" applyAlignment="1">
      <alignment wrapText="1"/>
    </xf>
    <xf numFmtId="168" fontId="31" fillId="6" borderId="0" xfId="0" applyFont="1" applyFill="1" applyAlignment="1">
      <alignment horizontal="left" vertical="center" indent="1"/>
    </xf>
    <xf numFmtId="168" fontId="25" fillId="6" borderId="0" xfId="0" applyFont="1" applyFill="1" applyAlignment="1">
      <alignment wrapText="1"/>
    </xf>
    <xf numFmtId="4" fontId="25" fillId="6" borderId="0" xfId="0" applyNumberFormat="1" applyFont="1" applyFill="1" applyAlignment="1">
      <alignment horizontal="left" vertical="center" indent="1"/>
    </xf>
    <xf numFmtId="14" fontId="0" fillId="6" borderId="0" xfId="0" applyNumberFormat="1" applyFill="1"/>
    <xf numFmtId="168" fontId="27" fillId="6" borderId="0" xfId="8" applyFont="1" applyFill="1" applyBorder="1"/>
    <xf numFmtId="168" fontId="0" fillId="0" borderId="43" xfId="0" applyBorder="1"/>
    <xf numFmtId="168" fontId="24" fillId="6" borderId="43" xfId="0" applyFont="1" applyFill="1" applyBorder="1" applyAlignment="1">
      <alignment horizontal="center" vertical="center"/>
    </xf>
    <xf numFmtId="168" fontId="25" fillId="6" borderId="43" xfId="0" applyFont="1" applyFill="1" applyBorder="1" applyAlignment="1">
      <alignment wrapText="1"/>
    </xf>
    <xf numFmtId="168" fontId="0" fillId="6" borderId="43" xfId="0" applyFill="1" applyBorder="1"/>
    <xf numFmtId="168" fontId="27" fillId="6" borderId="43" xfId="8" applyFont="1" applyFill="1" applyBorder="1"/>
    <xf numFmtId="14" fontId="9" fillId="0" borderId="0" xfId="8" applyNumberFormat="1" applyBorder="1" applyAlignment="1">
      <alignment horizontal="right" vertical="center"/>
    </xf>
    <xf numFmtId="4" fontId="23" fillId="6" borderId="0" xfId="0" applyNumberFormat="1" applyFont="1" applyFill="1" applyAlignment="1">
      <alignment horizontal="left" vertical="center" indent="1"/>
    </xf>
    <xf numFmtId="168" fontId="40" fillId="6" borderId="0" xfId="0" applyFont="1" applyFill="1" applyAlignment="1">
      <alignment horizontal="left" vertical="center" indent="1"/>
    </xf>
    <xf numFmtId="168" fontId="40" fillId="6" borderId="5" xfId="0" applyFont="1" applyFill="1" applyBorder="1" applyAlignment="1">
      <alignment horizontal="center" vertical="center" wrapText="1"/>
    </xf>
    <xf numFmtId="2" fontId="24" fillId="6" borderId="5" xfId="0" applyNumberFormat="1" applyFont="1" applyFill="1" applyBorder="1" applyAlignment="1">
      <alignment horizontal="center" vertical="center" wrapText="1"/>
    </xf>
    <xf numFmtId="2" fontId="25" fillId="6" borderId="5" xfId="0" applyNumberFormat="1" applyFont="1" applyFill="1" applyBorder="1" applyAlignment="1">
      <alignment horizontal="center" vertical="center" wrapText="1"/>
    </xf>
    <xf numFmtId="168" fontId="41" fillId="0" borderId="0" xfId="0" applyFont="1" applyAlignment="1">
      <alignment horizontal="left" indent="1"/>
    </xf>
    <xf numFmtId="4" fontId="29" fillId="6" borderId="0" xfId="0" applyNumberFormat="1" applyFont="1" applyFill="1" applyAlignment="1">
      <alignment vertical="center" wrapText="1"/>
    </xf>
    <xf numFmtId="168" fontId="42" fillId="13" borderId="0" xfId="0" applyFont="1" applyFill="1"/>
    <xf numFmtId="168" fontId="0" fillId="13" borderId="0" xfId="0" applyFill="1"/>
    <xf numFmtId="168" fontId="25" fillId="13" borderId="0" xfId="0" applyFont="1" applyFill="1" applyAlignment="1">
      <alignment vertical="center" wrapText="1"/>
    </xf>
    <xf numFmtId="168" fontId="27" fillId="13" borderId="0" xfId="8" applyFont="1" applyFill="1"/>
    <xf numFmtId="4" fontId="43" fillId="6" borderId="0" xfId="0" applyNumberFormat="1" applyFont="1" applyFill="1" applyAlignment="1">
      <alignment horizontal="left" vertical="center" indent="1"/>
    </xf>
    <xf numFmtId="168" fontId="44" fillId="0" borderId="0" xfId="0" applyFont="1" applyAlignment="1">
      <alignment horizontal="left" vertical="center"/>
    </xf>
    <xf numFmtId="168" fontId="0" fillId="6" borderId="42" xfId="0" applyFill="1" applyBorder="1" applyAlignment="1">
      <alignment horizontal="center"/>
    </xf>
    <xf numFmtId="49" fontId="3" fillId="11" borderId="2" xfId="0" applyNumberFormat="1" applyFont="1" applyFill="1" applyBorder="1" applyAlignment="1">
      <alignment horizontal="center" vertical="center" wrapText="1"/>
    </xf>
    <xf numFmtId="168" fontId="3" fillId="11" borderId="2" xfId="0" applyFont="1" applyFill="1" applyBorder="1" applyAlignment="1">
      <alignment horizontal="center" vertical="center"/>
    </xf>
    <xf numFmtId="3" fontId="3" fillId="11" borderId="2" xfId="0" applyNumberFormat="1" applyFont="1" applyFill="1" applyBorder="1" applyAlignment="1">
      <alignment horizontal="center" vertical="center" wrapText="1"/>
    </xf>
    <xf numFmtId="4" fontId="3" fillId="11" borderId="2" xfId="0" applyNumberFormat="1" applyFont="1" applyFill="1" applyBorder="1" applyAlignment="1">
      <alignment horizontal="center" vertical="center" wrapText="1"/>
    </xf>
    <xf numFmtId="168" fontId="3" fillId="11" borderId="2" xfId="0" applyFont="1" applyFill="1" applyBorder="1" applyAlignment="1">
      <alignment horizontal="center" vertical="center" wrapText="1"/>
    </xf>
    <xf numFmtId="14" fontId="3" fillId="11" borderId="2" xfId="0" applyNumberFormat="1" applyFont="1" applyFill="1" applyBorder="1" applyAlignment="1">
      <alignment horizontal="center" vertical="center" wrapText="1"/>
    </xf>
    <xf numFmtId="168" fontId="40" fillId="6" borderId="5" xfId="0" applyFont="1" applyFill="1" applyBorder="1" applyAlignment="1">
      <alignment vertical="center" wrapText="1"/>
    </xf>
    <xf numFmtId="4" fontId="25" fillId="6" borderId="42" xfId="0" applyNumberFormat="1" applyFont="1" applyFill="1" applyBorder="1" applyAlignment="1">
      <alignment horizontal="center" vertical="center"/>
    </xf>
    <xf numFmtId="4" fontId="25" fillId="6" borderId="41" xfId="0" applyNumberFormat="1" applyFont="1" applyFill="1" applyBorder="1" applyAlignment="1">
      <alignment horizontal="center" vertical="center"/>
    </xf>
    <xf numFmtId="168" fontId="3" fillId="6" borderId="0" xfId="0" applyFont="1" applyFill="1" applyAlignment="1">
      <alignment vertical="top"/>
    </xf>
    <xf numFmtId="3" fontId="45" fillId="6" borderId="10" xfId="0" applyNumberFormat="1" applyFont="1" applyFill="1" applyBorder="1" applyAlignment="1">
      <alignment vertical="center"/>
    </xf>
    <xf numFmtId="4" fontId="45" fillId="6" borderId="10" xfId="0" applyNumberFormat="1" applyFont="1" applyFill="1" applyBorder="1" applyAlignment="1">
      <alignment vertical="center"/>
    </xf>
    <xf numFmtId="3" fontId="46" fillId="6" borderId="5" xfId="0" applyNumberFormat="1" applyFont="1" applyFill="1" applyBorder="1" applyAlignment="1">
      <alignment vertical="center"/>
    </xf>
    <xf numFmtId="3" fontId="46" fillId="6" borderId="3" xfId="0" applyNumberFormat="1" applyFont="1" applyFill="1" applyBorder="1" applyAlignment="1">
      <alignment vertical="center"/>
    </xf>
    <xf numFmtId="3" fontId="11" fillId="6" borderId="10" xfId="0" quotePrefix="1" applyNumberFormat="1" applyFont="1" applyFill="1" applyBorder="1" applyAlignment="1">
      <alignment vertical="center"/>
    </xf>
    <xf numFmtId="4" fontId="11" fillId="6" borderId="10" xfId="0" quotePrefix="1" applyNumberFormat="1" applyFont="1" applyFill="1" applyBorder="1" applyAlignment="1">
      <alignment vertical="center"/>
    </xf>
    <xf numFmtId="14" fontId="47" fillId="6" borderId="0" xfId="0" applyNumberFormat="1" applyFont="1" applyFill="1"/>
    <xf numFmtId="0" fontId="10" fillId="0" borderId="0" xfId="0" applyNumberFormat="1" applyFont="1" applyAlignment="1">
      <alignment vertical="center"/>
    </xf>
    <xf numFmtId="0" fontId="10" fillId="9" borderId="0" xfId="8" applyNumberFormat="1" applyFont="1" applyFill="1" applyAlignment="1" applyProtection="1">
      <alignment horizontal="left" vertical="center"/>
    </xf>
    <xf numFmtId="0" fontId="0" fillId="6" borderId="49" xfId="0" applyNumberFormat="1" applyFill="1" applyBorder="1"/>
    <xf numFmtId="0" fontId="0" fillId="6" borderId="50" xfId="0" applyNumberFormat="1" applyFill="1" applyBorder="1"/>
    <xf numFmtId="0" fontId="25" fillId="6" borderId="0" xfId="0" applyNumberFormat="1" applyFont="1" applyFill="1" applyAlignment="1">
      <alignment wrapText="1"/>
    </xf>
    <xf numFmtId="0" fontId="0" fillId="6" borderId="43" xfId="0" applyNumberFormat="1" applyFill="1" applyBorder="1"/>
    <xf numFmtId="0" fontId="0" fillId="13" borderId="0" xfId="0" applyNumberFormat="1" applyFill="1"/>
    <xf numFmtId="14" fontId="3" fillId="0" borderId="0" xfId="0" applyNumberFormat="1" applyFont="1" applyAlignment="1">
      <alignment horizontal="center" vertical="center"/>
    </xf>
    <xf numFmtId="4" fontId="0" fillId="6" borderId="0" xfId="0" applyNumberFormat="1" applyFill="1"/>
    <xf numFmtId="165" fontId="0" fillId="6" borderId="0" xfId="12" applyFont="1" applyFill="1"/>
    <xf numFmtId="168" fontId="49" fillId="11" borderId="0" xfId="0" applyFont="1" applyFill="1" applyAlignment="1">
      <alignment horizontal="left" vertical="center"/>
    </xf>
    <xf numFmtId="168" fontId="0" fillId="9" borderId="0" xfId="0" applyFill="1" applyAlignment="1">
      <alignment horizontal="left" vertical="center"/>
    </xf>
    <xf numFmtId="169" fontId="0" fillId="6" borderId="53" xfId="0" applyNumberFormat="1" applyFill="1" applyBorder="1"/>
    <xf numFmtId="169" fontId="0" fillId="6" borderId="48" xfId="0" applyNumberFormat="1" applyFill="1" applyBorder="1"/>
    <xf numFmtId="172" fontId="0" fillId="6" borderId="48" xfId="0" applyNumberFormat="1" applyFill="1" applyBorder="1" applyAlignment="1">
      <alignment horizontal="left"/>
    </xf>
    <xf numFmtId="3" fontId="0" fillId="6" borderId="48" xfId="0" applyNumberFormat="1" applyFill="1" applyBorder="1" applyAlignment="1">
      <alignment horizontal="left"/>
    </xf>
    <xf numFmtId="3" fontId="0" fillId="6" borderId="48" xfId="0" applyNumberFormat="1" applyFill="1" applyBorder="1" applyAlignment="1">
      <alignment horizontal="right"/>
    </xf>
    <xf numFmtId="168" fontId="0" fillId="6" borderId="52" xfId="0" applyFill="1" applyBorder="1" applyAlignment="1">
      <alignment horizontal="left"/>
    </xf>
    <xf numFmtId="168" fontId="0" fillId="6" borderId="45" xfId="0" applyFill="1" applyBorder="1" applyAlignment="1">
      <alignment horizontal="left"/>
    </xf>
    <xf numFmtId="168" fontId="0" fillId="6" borderId="46" xfId="0" applyFill="1" applyBorder="1"/>
    <xf numFmtId="2" fontId="0" fillId="6" borderId="48" xfId="0" applyNumberFormat="1" applyFill="1" applyBorder="1"/>
    <xf numFmtId="168" fontId="0" fillId="6" borderId="48" xfId="0" applyFill="1" applyBorder="1" applyAlignment="1">
      <alignment vertical="center"/>
    </xf>
    <xf numFmtId="168" fontId="0" fillId="6" borderId="48" xfId="0" quotePrefix="1" applyFill="1" applyBorder="1" applyAlignment="1">
      <alignment horizontal="left" vertical="center"/>
    </xf>
    <xf numFmtId="168" fontId="0" fillId="6" borderId="48" xfId="0" applyFill="1" applyBorder="1" applyAlignment="1">
      <alignment horizontal="left" vertical="center"/>
    </xf>
    <xf numFmtId="168" fontId="0" fillId="6" borderId="48" xfId="0" quotePrefix="1" applyFill="1" applyBorder="1" applyAlignment="1">
      <alignment horizontal="center" vertical="center"/>
    </xf>
    <xf numFmtId="168" fontId="13" fillId="6" borderId="0" xfId="0" applyFont="1" applyFill="1"/>
    <xf numFmtId="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168" fontId="0" fillId="11" borderId="54" xfId="0" applyFill="1" applyBorder="1" applyAlignment="1">
      <alignment horizontal="center" vertical="center"/>
    </xf>
    <xf numFmtId="168" fontId="32" fillId="11" borderId="0" xfId="0" applyFont="1" applyFill="1" applyAlignment="1">
      <alignment horizontal="center" vertical="center"/>
    </xf>
    <xf numFmtId="168" fontId="48" fillId="11" borderId="55" xfId="0" applyFont="1" applyFill="1" applyBorder="1" applyAlignment="1">
      <alignment vertical="center"/>
    </xf>
    <xf numFmtId="1" fontId="12" fillId="12" borderId="54" xfId="0" applyNumberFormat="1" applyFont="1" applyFill="1" applyBorder="1" applyAlignment="1">
      <alignment horizontal="center" vertical="center"/>
    </xf>
    <xf numFmtId="1" fontId="12" fillId="12" borderId="55" xfId="0" applyNumberFormat="1" applyFont="1" applyFill="1" applyBorder="1" applyAlignment="1">
      <alignment horizontal="center" vertical="center"/>
    </xf>
    <xf numFmtId="170" fontId="10" fillId="9" borderId="54" xfId="0" applyNumberFormat="1" applyFont="1" applyFill="1" applyBorder="1" applyAlignment="1">
      <alignment horizontal="right" vertical="center"/>
    </xf>
    <xf numFmtId="170" fontId="10" fillId="9" borderId="0" xfId="0" applyNumberFormat="1" applyFont="1" applyFill="1" applyAlignment="1">
      <alignment horizontal="right" vertical="center"/>
    </xf>
    <xf numFmtId="170" fontId="10" fillId="9" borderId="55" xfId="0" applyNumberFormat="1" applyFont="1" applyFill="1" applyBorder="1" applyAlignment="1">
      <alignment horizontal="right" vertical="center"/>
    </xf>
    <xf numFmtId="170" fontId="10" fillId="9" borderId="0" xfId="0" applyNumberFormat="1" applyFont="1" applyFill="1" applyAlignment="1">
      <alignment horizontal="center" vertical="center"/>
    </xf>
    <xf numFmtId="170" fontId="10" fillId="9" borderId="55" xfId="0" applyNumberFormat="1" applyFont="1" applyFill="1" applyBorder="1" applyAlignment="1">
      <alignment horizontal="center" vertical="center"/>
    </xf>
    <xf numFmtId="168" fontId="0" fillId="0" borderId="54" xfId="0" applyBorder="1" applyAlignment="1">
      <alignment vertical="center"/>
    </xf>
    <xf numFmtId="168" fontId="0" fillId="0" borderId="55" xfId="0" applyBorder="1" applyAlignment="1">
      <alignment vertical="center"/>
    </xf>
    <xf numFmtId="168" fontId="32" fillId="11" borderId="54" xfId="0" applyFont="1" applyFill="1" applyBorder="1" applyAlignment="1">
      <alignment horizontal="center" vertical="center"/>
    </xf>
    <xf numFmtId="168" fontId="0" fillId="11" borderId="55" xfId="0" applyFill="1" applyBorder="1" applyAlignment="1">
      <alignment horizontal="center" vertical="center"/>
    </xf>
    <xf numFmtId="4" fontId="0" fillId="11" borderId="54" xfId="0" applyNumberFormat="1" applyFill="1" applyBorder="1" applyAlignment="1">
      <alignment horizontal="center" vertical="center"/>
    </xf>
    <xf numFmtId="4" fontId="0" fillId="11" borderId="0" xfId="0" applyNumberFormat="1" applyFill="1" applyAlignment="1">
      <alignment horizontal="center" vertical="center"/>
    </xf>
    <xf numFmtId="4" fontId="0" fillId="11" borderId="55" xfId="0" applyNumberFormat="1" applyFill="1" applyBorder="1" applyAlignment="1">
      <alignment horizontal="center" vertical="center"/>
    </xf>
    <xf numFmtId="168" fontId="48" fillId="11" borderId="55" xfId="0" applyFont="1" applyFill="1" applyBorder="1" applyAlignment="1">
      <alignment horizontal="center" vertical="center"/>
    </xf>
    <xf numFmtId="170" fontId="10" fillId="9" borderId="54" xfId="0" applyNumberFormat="1" applyFont="1" applyFill="1" applyBorder="1" applyAlignment="1">
      <alignment horizontal="center" vertical="center"/>
    </xf>
    <xf numFmtId="4" fontId="10" fillId="9" borderId="54" xfId="0" applyNumberFormat="1" applyFont="1" applyFill="1" applyBorder="1" applyAlignment="1">
      <alignment horizontal="center" vertical="center"/>
    </xf>
    <xf numFmtId="168" fontId="34" fillId="12" borderId="0" xfId="0" applyFont="1" applyFill="1" applyAlignment="1">
      <alignment vertical="center"/>
    </xf>
    <xf numFmtId="168" fontId="34" fillId="12" borderId="5" xfId="0" applyFont="1" applyFill="1" applyBorder="1" applyAlignment="1">
      <alignment vertical="center"/>
    </xf>
    <xf numFmtId="168" fontId="50" fillId="11" borderId="0" xfId="0" applyFont="1" applyFill="1" applyAlignment="1">
      <alignment horizontal="left" vertical="center"/>
    </xf>
    <xf numFmtId="4" fontId="0" fillId="6" borderId="0" xfId="0" applyNumberFormat="1" applyFill="1" applyAlignment="1">
      <alignment horizontal="left" vertical="center"/>
    </xf>
    <xf numFmtId="4" fontId="0" fillId="6" borderId="0" xfId="13" applyNumberFormat="1" applyFont="1" applyFill="1" applyBorder="1"/>
    <xf numFmtId="4" fontId="0" fillId="6" borderId="0" xfId="13" applyNumberFormat="1" applyFont="1" applyFill="1"/>
    <xf numFmtId="4" fontId="0" fillId="6" borderId="0" xfId="12" applyNumberFormat="1" applyFont="1" applyFill="1" applyAlignment="1">
      <alignment horizontal="center" vertical="center"/>
    </xf>
    <xf numFmtId="3" fontId="10" fillId="0" borderId="10" xfId="0" applyNumberFormat="1" applyFont="1" applyBorder="1" applyAlignment="1">
      <alignment vertical="center"/>
    </xf>
    <xf numFmtId="173" fontId="0" fillId="9" borderId="0" xfId="0" applyNumberFormat="1" applyFill="1" applyAlignment="1">
      <alignment horizontal="center" vertical="center"/>
    </xf>
    <xf numFmtId="2" fontId="0" fillId="14" borderId="0" xfId="0" applyNumberFormat="1" applyFill="1" applyAlignment="1">
      <alignment horizontal="center" vertical="center"/>
    </xf>
    <xf numFmtId="171" fontId="46" fillId="9" borderId="0" xfId="0" applyNumberFormat="1" applyFont="1" applyFill="1" applyAlignment="1">
      <alignment horizontal="left" vertical="center" indent="1"/>
    </xf>
    <xf numFmtId="168" fontId="46" fillId="9" borderId="0" xfId="0" applyFont="1" applyFill="1" applyAlignment="1">
      <alignment horizontal="center" vertical="center"/>
    </xf>
    <xf numFmtId="4" fontId="46" fillId="9" borderId="0" xfId="0" applyNumberFormat="1" applyFont="1" applyFill="1" applyAlignment="1">
      <alignment horizontal="center" vertical="center"/>
    </xf>
    <xf numFmtId="170" fontId="46" fillId="9" borderId="54" xfId="0" applyNumberFormat="1" applyFont="1" applyFill="1" applyBorder="1" applyAlignment="1">
      <alignment horizontal="right" vertical="center"/>
    </xf>
    <xf numFmtId="170" fontId="46" fillId="9" borderId="0" xfId="0" applyNumberFormat="1" applyFont="1" applyFill="1" applyAlignment="1">
      <alignment horizontal="right" vertical="center"/>
    </xf>
    <xf numFmtId="170" fontId="46" fillId="9" borderId="55" xfId="0" applyNumberFormat="1" applyFont="1" applyFill="1" applyBorder="1" applyAlignment="1">
      <alignment horizontal="right" vertical="center"/>
    </xf>
    <xf numFmtId="4" fontId="46" fillId="11" borderId="54" xfId="0" applyNumberFormat="1" applyFont="1" applyFill="1" applyBorder="1" applyAlignment="1">
      <alignment horizontal="center" vertical="center"/>
    </xf>
    <xf numFmtId="4" fontId="46" fillId="11" borderId="0" xfId="0" applyNumberFormat="1" applyFont="1" applyFill="1" applyAlignment="1">
      <alignment horizontal="center" vertical="center"/>
    </xf>
    <xf numFmtId="4" fontId="46" fillId="11" borderId="55" xfId="0" applyNumberFormat="1" applyFont="1" applyFill="1" applyBorder="1" applyAlignment="1">
      <alignment horizontal="center" vertical="center"/>
    </xf>
    <xf numFmtId="170" fontId="46" fillId="9" borderId="54" xfId="0" applyNumberFormat="1" applyFont="1" applyFill="1" applyBorder="1" applyAlignment="1">
      <alignment horizontal="center" vertical="center"/>
    </xf>
    <xf numFmtId="170" fontId="46" fillId="9" borderId="0" xfId="0" applyNumberFormat="1" applyFont="1" applyFill="1" applyAlignment="1">
      <alignment horizontal="center" vertical="center"/>
    </xf>
    <xf numFmtId="170" fontId="46" fillId="9" borderId="55" xfId="0" applyNumberFormat="1" applyFont="1" applyFill="1" applyBorder="1" applyAlignment="1">
      <alignment horizontal="center" vertical="center"/>
    </xf>
    <xf numFmtId="168" fontId="46" fillId="0" borderId="0" xfId="0" applyFont="1"/>
    <xf numFmtId="4" fontId="46" fillId="9" borderId="54" xfId="0" applyNumberFormat="1" applyFont="1" applyFill="1" applyBorder="1" applyAlignment="1">
      <alignment horizontal="center" vertical="center"/>
    </xf>
    <xf numFmtId="168" fontId="33" fillId="0" borderId="0" xfId="0" applyFont="1"/>
    <xf numFmtId="1" fontId="33" fillId="6" borderId="0" xfId="0" applyNumberFormat="1" applyFont="1" applyFill="1" applyAlignment="1">
      <alignment horizontal="center"/>
    </xf>
    <xf numFmtId="2" fontId="33" fillId="9" borderId="0" xfId="0" applyNumberFormat="1" applyFont="1" applyFill="1" applyAlignment="1">
      <alignment horizontal="center"/>
    </xf>
    <xf numFmtId="2" fontId="33" fillId="9" borderId="0" xfId="0" applyNumberFormat="1" applyFont="1" applyFill="1" applyAlignment="1">
      <alignment horizontal="center" vertical="center"/>
    </xf>
    <xf numFmtId="4" fontId="33" fillId="9" borderId="0" xfId="0" applyNumberFormat="1" applyFont="1" applyFill="1" applyAlignment="1">
      <alignment horizontal="center"/>
    </xf>
    <xf numFmtId="4" fontId="33" fillId="9" borderId="0" xfId="0" applyNumberFormat="1" applyFont="1" applyFill="1" applyAlignment="1">
      <alignment horizontal="center" vertical="center"/>
    </xf>
    <xf numFmtId="168" fontId="53" fillId="7" borderId="0" xfId="0" applyFont="1" applyFill="1" applyAlignment="1">
      <alignment horizontal="center" vertical="center"/>
    </xf>
    <xf numFmtId="3" fontId="53" fillId="6" borderId="5" xfId="0" applyNumberFormat="1" applyFont="1" applyFill="1" applyBorder="1" applyAlignment="1">
      <alignment vertical="center"/>
    </xf>
    <xf numFmtId="165" fontId="0" fillId="0" borderId="0" xfId="12" applyFont="1"/>
    <xf numFmtId="0" fontId="0" fillId="15" borderId="0" xfId="0" applyNumberFormat="1" applyFill="1" applyAlignment="1">
      <alignment horizontal="center" vertical="center"/>
    </xf>
    <xf numFmtId="168" fontId="0" fillId="15" borderId="0" xfId="0" applyFill="1" applyAlignment="1">
      <alignment horizontal="left" vertical="center"/>
    </xf>
    <xf numFmtId="3" fontId="0" fillId="15" borderId="0" xfId="0" applyNumberFormat="1" applyFill="1" applyAlignment="1">
      <alignment horizontal="center" vertical="center"/>
    </xf>
    <xf numFmtId="168" fontId="0" fillId="15" borderId="0" xfId="0" applyFill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73" fontId="0" fillId="15" borderId="0" xfId="0" applyNumberFormat="1" applyFill="1" applyAlignment="1">
      <alignment horizontal="center" vertical="center"/>
    </xf>
    <xf numFmtId="173" fontId="13" fillId="15" borderId="0" xfId="0" applyNumberFormat="1" applyFont="1" applyFill="1" applyAlignment="1">
      <alignment horizontal="center" vertical="center"/>
    </xf>
    <xf numFmtId="168" fontId="54" fillId="14" borderId="0" xfId="0" applyFont="1" applyFill="1" applyAlignment="1">
      <alignment horizontal="left" vertical="center"/>
    </xf>
    <xf numFmtId="168" fontId="33" fillId="14" borderId="0" xfId="0" applyFont="1" applyFill="1" applyAlignment="1">
      <alignment horizontal="center" vertical="center"/>
    </xf>
    <xf numFmtId="4" fontId="33" fillId="14" borderId="0" xfId="0" applyNumberFormat="1" applyFont="1" applyFill="1" applyAlignment="1">
      <alignment horizontal="center" vertical="center"/>
    </xf>
    <xf numFmtId="173" fontId="33" fillId="14" borderId="0" xfId="0" applyNumberFormat="1" applyFont="1" applyFill="1" applyAlignment="1">
      <alignment horizontal="center" vertical="center"/>
    </xf>
    <xf numFmtId="168" fontId="33" fillId="0" borderId="0" xfId="0" applyFont="1" applyAlignment="1">
      <alignment vertical="center"/>
    </xf>
    <xf numFmtId="0" fontId="55" fillId="14" borderId="0" xfId="0" applyNumberFormat="1" applyFont="1" applyFill="1" applyAlignment="1">
      <alignment horizontal="left" vertical="center"/>
    </xf>
    <xf numFmtId="168" fontId="0" fillId="6" borderId="0" xfId="0" applyFill="1" applyAlignment="1">
      <alignment wrapText="1"/>
    </xf>
    <xf numFmtId="174" fontId="0" fillId="6" borderId="0" xfId="0" applyNumberFormat="1" applyFill="1" applyAlignment="1">
      <alignment horizontal="center" vertical="center"/>
    </xf>
    <xf numFmtId="1" fontId="33" fillId="6" borderId="0" xfId="0" applyNumberFormat="1" applyFont="1" applyFill="1" applyAlignment="1">
      <alignment horizontal="center" vertical="center"/>
    </xf>
    <xf numFmtId="168" fontId="3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9" fontId="0" fillId="0" borderId="0" xfId="14" applyFont="1" applyAlignment="1">
      <alignment horizontal="center" vertical="center"/>
    </xf>
    <xf numFmtId="168" fontId="33" fillId="5" borderId="2" xfId="0" applyFont="1" applyFill="1" applyBorder="1" applyAlignment="1">
      <alignment horizontal="left" vertical="center"/>
    </xf>
    <xf numFmtId="168" fontId="0" fillId="5" borderId="2" xfId="0" applyFill="1" applyBorder="1"/>
    <xf numFmtId="168" fontId="0" fillId="5" borderId="59" xfId="0" applyFill="1" applyBorder="1"/>
    <xf numFmtId="168" fontId="0" fillId="5" borderId="0" xfId="0" applyFill="1" applyAlignment="1">
      <alignment horizontal="left" vertical="center"/>
    </xf>
    <xf numFmtId="168" fontId="0" fillId="5" borderId="0" xfId="0" applyFill="1"/>
    <xf numFmtId="168" fontId="0" fillId="5" borderId="56" xfId="0" applyFill="1" applyBorder="1"/>
    <xf numFmtId="0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left" vertical="center"/>
    </xf>
    <xf numFmtId="0" fontId="0" fillId="5" borderId="56" xfId="0" applyNumberFormat="1" applyFill="1" applyBorder="1" applyAlignment="1">
      <alignment horizontal="center" vertical="center"/>
    </xf>
    <xf numFmtId="14" fontId="0" fillId="6" borderId="0" xfId="0" applyNumberFormat="1" applyFill="1" applyAlignment="1">
      <alignment horizontal="left"/>
    </xf>
    <xf numFmtId="168" fontId="33" fillId="14" borderId="58" xfId="0" applyFont="1" applyFill="1" applyBorder="1" applyAlignment="1">
      <alignment horizontal="left" vertical="center"/>
    </xf>
    <xf numFmtId="168" fontId="0" fillId="14" borderId="2" xfId="0" applyFill="1" applyBorder="1" applyAlignment="1">
      <alignment horizontal="center" vertical="center"/>
    </xf>
    <xf numFmtId="2" fontId="0" fillId="14" borderId="59" xfId="0" applyNumberFormat="1" applyFill="1" applyBorder="1" applyAlignment="1">
      <alignment horizontal="left" vertical="center"/>
    </xf>
    <xf numFmtId="168" fontId="0" fillId="14" borderId="57" xfId="0" applyFill="1" applyBorder="1" applyAlignment="1">
      <alignment horizontal="left" vertical="center"/>
    </xf>
    <xf numFmtId="1" fontId="0" fillId="14" borderId="0" xfId="0" applyNumberFormat="1" applyFill="1" applyAlignment="1">
      <alignment horizontal="left" vertical="center"/>
    </xf>
    <xf numFmtId="2" fontId="0" fillId="14" borderId="56" xfId="0" applyNumberFormat="1" applyFill="1" applyBorder="1" applyAlignment="1">
      <alignment horizontal="left" vertical="center"/>
    </xf>
    <xf numFmtId="1" fontId="0" fillId="14" borderId="57" xfId="0" applyNumberFormat="1" applyFill="1" applyBorder="1" applyAlignment="1">
      <alignment horizontal="left" vertical="center"/>
    </xf>
    <xf numFmtId="168" fontId="0" fillId="14" borderId="56" xfId="0" applyFill="1" applyBorder="1" applyAlignment="1">
      <alignment horizontal="left" vertical="center"/>
    </xf>
    <xf numFmtId="168" fontId="0" fillId="14" borderId="56" xfId="0" applyFill="1" applyBorder="1"/>
    <xf numFmtId="168" fontId="0" fillId="14" borderId="0" xfId="0" applyFill="1" applyAlignment="1">
      <alignment horizontal="left" vertical="center"/>
    </xf>
    <xf numFmtId="2" fontId="3" fillId="6" borderId="0" xfId="0" applyNumberFormat="1" applyFont="1" applyFill="1" applyAlignment="1">
      <alignment horizontal="center" vertical="center"/>
    </xf>
    <xf numFmtId="168" fontId="0" fillId="6" borderId="0" xfId="0" quotePrefix="1" applyFill="1" applyAlignment="1">
      <alignment horizontal="center" vertical="center"/>
    </xf>
    <xf numFmtId="173" fontId="10" fillId="9" borderId="51" xfId="0" applyNumberFormat="1" applyFont="1" applyFill="1" applyBorder="1" applyAlignment="1">
      <alignment horizontal="center" vertical="center" wrapText="1"/>
    </xf>
    <xf numFmtId="167" fontId="56" fillId="6" borderId="2" xfId="0" applyNumberFormat="1" applyFont="1" applyFill="1" applyBorder="1" applyAlignment="1">
      <alignment vertical="center"/>
    </xf>
    <xf numFmtId="4" fontId="56" fillId="6" borderId="2" xfId="0" applyNumberFormat="1" applyFont="1" applyFill="1" applyBorder="1" applyAlignment="1">
      <alignment vertical="center"/>
    </xf>
    <xf numFmtId="4" fontId="56" fillId="6" borderId="2" xfId="0" quotePrefix="1" applyNumberFormat="1" applyFont="1" applyFill="1" applyBorder="1" applyAlignment="1">
      <alignment vertical="center"/>
    </xf>
    <xf numFmtId="4" fontId="56" fillId="6" borderId="5" xfId="0" applyNumberFormat="1" applyFont="1" applyFill="1" applyBorder="1" applyAlignment="1">
      <alignment vertical="center"/>
    </xf>
    <xf numFmtId="4" fontId="56" fillId="6" borderId="10" xfId="0" applyNumberFormat="1" applyFont="1" applyFill="1" applyBorder="1" applyAlignment="1">
      <alignment vertical="center"/>
    </xf>
    <xf numFmtId="4" fontId="56" fillId="6" borderId="0" xfId="0" applyNumberFormat="1" applyFont="1" applyFill="1" applyAlignment="1">
      <alignment vertical="center"/>
    </xf>
    <xf numFmtId="173" fontId="10" fillId="9" borderId="0" xfId="0" applyNumberFormat="1" applyFont="1" applyFill="1" applyAlignment="1">
      <alignment horizontal="center" vertical="center" wrapText="1"/>
    </xf>
    <xf numFmtId="168" fontId="38" fillId="6" borderId="0" xfId="0" applyFont="1" applyFill="1" applyAlignment="1">
      <alignment horizontal="center"/>
    </xf>
    <xf numFmtId="168" fontId="0" fillId="16" borderId="51" xfId="0" applyFill="1" applyBorder="1" applyAlignment="1">
      <alignment horizontal="center" vertical="top" wrapText="1"/>
    </xf>
    <xf numFmtId="168" fontId="0" fillId="16" borderId="0" xfId="0" applyFill="1" applyAlignment="1">
      <alignment horizontal="center" vertical="top" wrapText="1"/>
    </xf>
    <xf numFmtId="168" fontId="0" fillId="0" borderId="0" xfId="0" applyAlignment="1">
      <alignment horizontal="center" vertical="center" wrapText="1"/>
    </xf>
  </cellXfs>
  <cellStyles count="15">
    <cellStyle name="Komma" xfId="12" builtinId="3"/>
    <cellStyle name="Komma 2" xfId="2" xr:uid="{00000000-0005-0000-0000-000001000000}"/>
    <cellStyle name="Komma 3" xfId="4" xr:uid="{00000000-0005-0000-0000-000002000000}"/>
    <cellStyle name="Komma 4" xfId="1" xr:uid="{00000000-0005-0000-0000-000003000000}"/>
    <cellStyle name="Link" xfId="8" builtinId="8"/>
    <cellStyle name="Prozent" xfId="14" builtinId="5"/>
    <cellStyle name="SAPBEXstdItem 10" xfId="7" xr:uid="{00000000-0005-0000-0000-000005000000}"/>
    <cellStyle name="Standard" xfId="0" builtinId="0"/>
    <cellStyle name="Standard 2" xfId="3" xr:uid="{00000000-0005-0000-0000-000007000000}"/>
    <cellStyle name="Standard 3" xfId="9" xr:uid="{00000000-0005-0000-0000-000008000000}"/>
    <cellStyle name="Standard 4" xfId="11" xr:uid="{00000000-0005-0000-0000-000009000000}"/>
    <cellStyle name="Währung" xfId="13" builtinId="4"/>
    <cellStyle name="Währung 2" xfId="10" xr:uid="{00000000-0005-0000-0000-00000A000000}"/>
    <cellStyle name="爀甀渀最 嬀　崀" xfId="5" xr:uid="{00000000-0005-0000-0000-00000B000000}"/>
    <cellStyle name="琀愀渀搀愀爀搀" xfId="6" xr:uid="{00000000-0005-0000-0000-00000C000000}"/>
  </cellStyles>
  <dxfs count="4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theme="5"/>
      </font>
    </dxf>
    <dxf>
      <font>
        <b/>
        <i val="0"/>
        <color rgb="FF00B050"/>
      </font>
    </dxf>
    <dxf>
      <font>
        <b/>
        <i val="0"/>
        <u val="double"/>
        <color theme="0"/>
      </font>
      <fill>
        <patternFill patternType="solid">
          <fgColor auto="1"/>
          <bgColor rgb="FFFF0000"/>
        </patternFill>
      </fill>
    </dxf>
    <dxf>
      <font>
        <b/>
        <i val="0"/>
        <color theme="5"/>
      </font>
    </dxf>
    <dxf>
      <font>
        <b/>
        <i val="0"/>
        <color rgb="FF00B050"/>
      </font>
    </dxf>
    <dxf>
      <font>
        <color theme="5"/>
      </font>
    </dxf>
    <dxf>
      <font>
        <b/>
        <i val="0"/>
        <color theme="5" tint="-0.24994659260841701"/>
      </font>
    </dxf>
    <dxf>
      <font>
        <b/>
        <i val="0"/>
        <color theme="0" tint="-0.499984740745262"/>
      </font>
    </dxf>
    <dxf>
      <fill>
        <patternFill>
          <bgColor theme="8" tint="0.79998168889431442"/>
        </patternFill>
      </fill>
    </dxf>
    <dxf>
      <font>
        <b/>
        <i val="0"/>
        <color rgb="FF0070C0"/>
      </font>
    </dxf>
    <dxf>
      <font>
        <b/>
        <i val="0"/>
        <color theme="1" tint="0.24994659260841701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5" tint="-0.24994659260841701"/>
      </font>
    </dxf>
    <dxf>
      <font>
        <b/>
        <i val="0"/>
        <color theme="0" tint="-0.499984740745262"/>
      </font>
    </dxf>
    <dxf>
      <font>
        <b/>
        <i val="0"/>
        <u val="double"/>
        <color theme="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0070C0"/>
      </font>
    </dxf>
    <dxf>
      <font>
        <b/>
        <i val="0"/>
        <color theme="1" tint="0.24994659260841701"/>
      </font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66"/>
      <color rgb="FF00FF00"/>
      <color rgb="FF00CC00"/>
      <color rgb="FF660066"/>
      <color rgb="FFFF7C80"/>
      <color rgb="FFFF0066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152400</xdr:rowOff>
        </xdr:from>
        <xdr:to>
          <xdr:col>17</xdr:col>
          <xdr:colOff>790575</xdr:colOff>
          <xdr:row>6</xdr:row>
          <xdr:rowOff>66675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Optional: Liste aufräumen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76200</xdr:rowOff>
        </xdr:from>
        <xdr:to>
          <xdr:col>17</xdr:col>
          <xdr:colOff>790575</xdr:colOff>
          <xdr:row>4</xdr:row>
          <xdr:rowOff>28575</xdr:rowOff>
        </xdr:to>
        <xdr:sp macro="" textlink="">
          <xdr:nvSpPr>
            <xdr:cNvPr id="9226" name="CommandButton2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192</xdr:row>
          <xdr:rowOff>0</xdr:rowOff>
        </xdr:from>
        <xdr:to>
          <xdr:col>17</xdr:col>
          <xdr:colOff>800100</xdr:colOff>
          <xdr:row>194</xdr:row>
          <xdr:rowOff>38100</xdr:rowOff>
        </xdr:to>
        <xdr:sp macro="" textlink="">
          <xdr:nvSpPr>
            <xdr:cNvPr id="9227" name="CommandButton3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257175</xdr:rowOff>
        </xdr:from>
        <xdr:to>
          <xdr:col>17</xdr:col>
          <xdr:colOff>800100</xdr:colOff>
          <xdr:row>10</xdr:row>
          <xdr:rowOff>152400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PFC-Bericht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4</xdr:row>
          <xdr:rowOff>142875</xdr:rowOff>
        </xdr:from>
        <xdr:to>
          <xdr:col>20</xdr:col>
          <xdr:colOff>66675</xdr:colOff>
          <xdr:row>6</xdr:row>
          <xdr:rowOff>28575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Credit 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1133475</xdr:colOff>
          <xdr:row>11</xdr:row>
          <xdr:rowOff>28575</xdr:rowOff>
        </xdr:from>
        <xdr:to>
          <xdr:col>20</xdr:col>
          <xdr:colOff>152400</xdr:colOff>
          <xdr:row>12</xdr:row>
          <xdr:rowOff>180975</xdr:rowOff>
        </xdr:to>
        <xdr:sp macro="" textlink="">
          <xdr:nvSpPr>
            <xdr:cNvPr id="9235" name="CommandButton10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0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66675</xdr:rowOff>
        </xdr:from>
        <xdr:to>
          <xdr:col>20</xdr:col>
          <xdr:colOff>66675</xdr:colOff>
          <xdr:row>3</xdr:row>
          <xdr:rowOff>219075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0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Logbuch Rolle Markt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0</xdr:rowOff>
        </xdr:from>
        <xdr:to>
          <xdr:col>20</xdr:col>
          <xdr:colOff>104775</xdr:colOff>
          <xdr:row>10</xdr:row>
          <xdr:rowOff>152400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0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PFCs öffnen (4x)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6</xdr:row>
          <xdr:rowOff>180975</xdr:rowOff>
        </xdr:from>
        <xdr:to>
          <xdr:col>17</xdr:col>
          <xdr:colOff>800100</xdr:colOff>
          <xdr:row>8</xdr:row>
          <xdr:rowOff>142875</xdr:rowOff>
        </xdr:to>
        <xdr:sp macro="" textlink="">
          <xdr:nvSpPr>
            <xdr:cNvPr id="9249" name="Button 33" descr="Mgmt-Report + Settl.-Preise einlesen 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0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Mgmt-Report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6</xdr:row>
          <xdr:rowOff>142875</xdr:rowOff>
        </xdr:from>
        <xdr:to>
          <xdr:col>20</xdr:col>
          <xdr:colOff>66675</xdr:colOff>
          <xdr:row>8</xdr:row>
          <xdr:rowOff>142875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0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Managementreport öffnen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10</xdr:row>
          <xdr:rowOff>257175</xdr:rowOff>
        </xdr:from>
        <xdr:to>
          <xdr:col>17</xdr:col>
          <xdr:colOff>828675</xdr:colOff>
          <xdr:row>12</xdr:row>
          <xdr:rowOff>142875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0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Daily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4</xdr:row>
          <xdr:rowOff>28575</xdr:rowOff>
        </xdr:from>
        <xdr:to>
          <xdr:col>1</xdr:col>
          <xdr:colOff>1819275</xdr:colOff>
          <xdr:row>4</xdr:row>
          <xdr:rowOff>219075</xdr:rowOff>
        </xdr:to>
        <xdr:sp macro="" textlink="">
          <xdr:nvSpPr>
            <xdr:cNvPr id="9257" name="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0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Ein/Ausblenden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31</xdr:row>
          <xdr:rowOff>9525</xdr:rowOff>
        </xdr:from>
        <xdr:to>
          <xdr:col>10</xdr:col>
          <xdr:colOff>657225</xdr:colOff>
          <xdr:row>33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Daily Info Vertrieb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23</xdr:row>
          <xdr:rowOff>352425</xdr:rowOff>
        </xdr:from>
        <xdr:to>
          <xdr:col>10</xdr:col>
          <xdr:colOff>638175</xdr:colOff>
          <xdr:row>26</xdr:row>
          <xdr:rowOff>85725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kopieren Z-Ablage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44</xdr:row>
          <xdr:rowOff>104775</xdr:rowOff>
        </xdr:from>
        <xdr:to>
          <xdr:col>6</xdr:col>
          <xdr:colOff>419100</xdr:colOff>
          <xdr:row>47</xdr:row>
          <xdr:rowOff>66675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Daily Info Vertrieb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34</xdr:row>
          <xdr:rowOff>114300</xdr:rowOff>
        </xdr:from>
        <xdr:to>
          <xdr:col>11</xdr:col>
          <xdr:colOff>685800</xdr:colOff>
          <xdr:row>36</xdr:row>
          <xdr:rowOff>85725</xdr:rowOff>
        </xdr:to>
        <xdr:sp macro="" textlink="">
          <xdr:nvSpPr>
            <xdr:cNvPr id="11277" name="CheckASP1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27</xdr:row>
          <xdr:rowOff>66675</xdr:rowOff>
        </xdr:from>
        <xdr:to>
          <xdr:col>10</xdr:col>
          <xdr:colOff>657225</xdr:colOff>
          <xdr:row>29</xdr:row>
          <xdr:rowOff>152400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Marktkommentar versenden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loos Alexander" id="{F5F82062-EFC1-4072-A5A5-E8BF93574499}" userId="S::Alexander.Kloos@auew.de::2123d3c7-7fc4-4438-875e-1d52c91deca2" providerId="AD"/>
  <person displayName="Schnur Sebastian" id="{F793E1CF-9BB4-4F77-8C35-14302B23F01D}" userId="S::Sebastian.Schnur@auew.de::da37ebb5-ef22-4c49-b35a-be9f23c4bfd6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4-10-14T13:33:03.92" personId="{F5F82062-EFC1-4072-A5A5-E8BF93574499}" id="{94498A79-701E-4DC7-B6C5-7BF6BEBAB267}">
    <text>Aus Sicht AÜW
"K" Kauf
"V" Verkauf
„K-NE“ Kauf nicht in Robotron enthalten
„V-NE“ Verkauf nicht in Robotron enthalten
"PK" Planung Kauf
"PV" Planung Verkauf
"ohne" geht nicht in die Berechnung ein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4" dT="2023-03-02T14:35:57.68" personId="{F793E1CF-9BB4-4F77-8C35-14302B23F01D}" id="{A9D053B5-5CD4-4EC3-9657-ACDF9AD263CD}">
    <text>"2024" oder "Q223" oder "Apr-23"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3F0425D-4361-4344-BD83-707BE0CC83AB}">
  <we:reference id="8ed65516-361f-4968-b44b-49c16e54ea88" version="1.2.1.0" store="EXCatalog" storeType="EXCatalog"/>
  <we:alternateReferences>
    <we:reference id="WA200000126" version="1.2.1.0" store="de-DE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customProperty" Target="../customProperty2.bin"/><Relationship Id="rId21" Type="http://schemas.openxmlformats.org/officeDocument/2006/relationships/comments" Target="../comments1.xml"/><Relationship Id="rId7" Type="http://schemas.openxmlformats.org/officeDocument/2006/relationships/image" Target="../media/image1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customProperty" Target="../customProperty1.bin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3.xml"/><Relationship Id="rId19" Type="http://schemas.openxmlformats.org/officeDocument/2006/relationships/ctrlProp" Target="../ctrlProps/ctrlProp8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trlProp" Target="../ctrlProps/ctrlProp3.xml"/><Relationship Id="rId22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ustomProperty" Target="../customProperty3.bin"/><Relationship Id="rId7" Type="http://schemas.openxmlformats.org/officeDocument/2006/relationships/control" Target="../activeX/activeX4.xml"/><Relationship Id="rId12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Vertriebs-Aufschl&#228;ge%20Daily%20Mail.xlsx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2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1.xml"/><Relationship Id="rId4" Type="http://schemas.openxmlformats.org/officeDocument/2006/relationships/customProperty" Target="../customProperty4.bin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theme="4" tint="-0.499984740745262"/>
  </sheetPr>
  <dimension ref="A1:AM247"/>
  <sheetViews>
    <sheetView tabSelected="1" zoomScale="85" zoomScaleNormal="85" workbookViewId="0">
      <selection activeCell="A10" sqref="A10"/>
    </sheetView>
  </sheetViews>
  <sheetFormatPr baseColWidth="10" defaultColWidth="11.42578125" defaultRowHeight="15" outlineLevelCol="1" x14ac:dyDescent="0.25"/>
  <cols>
    <col min="1" max="1" width="14.42578125" customWidth="1"/>
    <col min="2" max="2" width="44" customWidth="1"/>
    <col min="3" max="3" width="14.42578125" style="32" customWidth="1"/>
    <col min="5" max="5" width="12.5703125" bestFit="1" customWidth="1"/>
    <col min="6" max="6" width="11.5703125" customWidth="1"/>
    <col min="9" max="13" width="11.42578125" hidden="1" customWidth="1" outlineLevel="1"/>
    <col min="14" max="14" width="12.5703125" bestFit="1" customWidth="1" collapsed="1"/>
    <col min="15" max="15" width="16.5703125" style="5" customWidth="1"/>
    <col min="16" max="16" width="7.5703125" style="5" customWidth="1"/>
    <col min="17" max="17" width="8" style="5" customWidth="1"/>
    <col min="18" max="18" width="16.5703125" style="5" customWidth="1"/>
    <col min="19" max="19" width="14.42578125" style="5" customWidth="1"/>
    <col min="20" max="20" width="13.5703125" style="5" customWidth="1"/>
    <col min="21" max="21" width="10.5703125" style="5" customWidth="1"/>
    <col min="22" max="22" width="9.42578125" style="5" customWidth="1"/>
    <col min="23" max="23" width="11.42578125" style="5" customWidth="1"/>
    <col min="24" max="24" width="11.42578125" style="5"/>
    <col min="25" max="25" width="12.5703125" style="5" bestFit="1" customWidth="1"/>
    <col min="26" max="16384" width="11.42578125" style="5"/>
  </cols>
  <sheetData>
    <row r="1" spans="1:39" s="129" customFormat="1" ht="19.5" customHeight="1" x14ac:dyDescent="0.25">
      <c r="A1" s="68" t="s">
        <v>102</v>
      </c>
      <c r="B1" s="45"/>
      <c r="C1" s="236"/>
      <c r="D1" s="45"/>
      <c r="E1" s="45"/>
      <c r="F1" s="45"/>
      <c r="G1" s="45"/>
      <c r="H1" s="45"/>
      <c r="I1" s="45"/>
      <c r="J1" s="45"/>
      <c r="K1" s="45"/>
      <c r="L1" s="45"/>
      <c r="M1" s="45"/>
      <c r="N1" s="50"/>
      <c r="O1" s="50"/>
      <c r="P1" s="136"/>
      <c r="Q1" s="50"/>
      <c r="R1" s="50"/>
      <c r="S1" s="136"/>
      <c r="T1" s="50"/>
      <c r="U1" s="5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</row>
    <row r="2" spans="1:39" s="129" customFormat="1" ht="20.100000000000001" customHeight="1" x14ac:dyDescent="0.25">
      <c r="A2" s="111" t="s">
        <v>29</v>
      </c>
      <c r="B2" s="111"/>
      <c r="C2" s="112">
        <v>46205.052083333336</v>
      </c>
      <c r="D2" s="113">
        <f>YEAR(Datum)</f>
        <v>2026</v>
      </c>
      <c r="E2" s="113">
        <f>D2+1</f>
        <v>2027</v>
      </c>
      <c r="F2" s="113">
        <f t="shared" ref="F2:M2" si="0">E2+1</f>
        <v>2028</v>
      </c>
      <c r="G2" s="113">
        <f t="shared" si="0"/>
        <v>2029</v>
      </c>
      <c r="H2" s="113">
        <f t="shared" si="0"/>
        <v>2030</v>
      </c>
      <c r="I2" s="113">
        <f t="shared" si="0"/>
        <v>2031</v>
      </c>
      <c r="J2" s="113">
        <f t="shared" si="0"/>
        <v>2032</v>
      </c>
      <c r="K2" s="113">
        <f t="shared" si="0"/>
        <v>2033</v>
      </c>
      <c r="L2" s="113">
        <f t="shared" si="0"/>
        <v>2034</v>
      </c>
      <c r="M2" s="113">
        <f t="shared" si="0"/>
        <v>2035</v>
      </c>
      <c r="N2" s="114" t="s">
        <v>138</v>
      </c>
      <c r="O2" s="50"/>
      <c r="P2" s="136" t="s">
        <v>79</v>
      </c>
      <c r="Q2" s="50"/>
      <c r="R2" s="50"/>
      <c r="S2" s="136" t="s">
        <v>137</v>
      </c>
      <c r="T2" s="50"/>
      <c r="U2" s="50"/>
      <c r="V2" s="141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</row>
    <row r="3" spans="1:39" s="129" customFormat="1" ht="20.100000000000001" customHeight="1" x14ac:dyDescent="0.25">
      <c r="A3" s="115" t="s">
        <v>33</v>
      </c>
      <c r="B3" s="111"/>
      <c r="C3" s="47" t="s">
        <v>15</v>
      </c>
      <c r="D3" s="230" cm="1">
        <f t="array" aca="1" ref="D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-11519.823415999999</v>
      </c>
      <c r="E3" s="48" cm="1">
        <f t="array" aca="1" ref="E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1915.3255799999461</v>
      </c>
      <c r="F3" s="48" cm="1">
        <f t="array" aca="1" ref="F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-274.47320599999512</v>
      </c>
      <c r="G3" s="48" cm="1">
        <f t="array" aca="1" ref="G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1163.9278599999961</v>
      </c>
      <c r="H3" s="234" cm="1">
        <f t="array" aca="1" ref="H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I3" s="48" cm="1">
        <f t="array" aca="1" ref="I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J3" s="48" cm="1">
        <f t="array" aca="1" ref="J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K3" s="48" cm="1">
        <f t="array" aca="1" ref="K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L3" s="48" cm="1">
        <f t="array" aca="1" ref="L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M3" s="48" cm="1">
        <f t="array" aca="1" ref="M3" ca="1">SUMPRODUCT(SUBTOTAL(9,INDIRECT(LEFT(ADDRESS(1,COLUMN(),4),1+(COLUMN()&gt;26))&amp;ROW(7:192)))*($C$7:$C$192="V"))+SUMPRODUCT(SUBTOTAL(9,INDIRECT(LEFT(ADDRESS(1,COLUMN(),4),1+(COLUMN()&gt;26))&amp;ROW(7:192)))*($C$7:$C$192="V-NE"))+SUMPRODUCT(SUBTOTAL(9,INDIRECT(LEFT(ADDRESS(1,COLUMN(),4),1+(COLUMN()&gt;26))&amp;ROW(7:192)))*($C$7:$C$192="PV"))-SUMPRODUCT(SUBTOTAL(9,INDIRECT(LEFT(ADDRESS(1,COLUMN(),4),1+(COLUMN()&gt;26))&amp;ROW(7:192)))*($C$7:$C$192="K"))-SUMPRODUCT(SUBTOTAL(9,INDIRECT(LEFT(ADDRESS(1,COLUMN(),4),1+(COLUMN()&gt;26))&amp;ROW(7:192)))*($C$7:$C$192="K-NE"))-SUMPRODUCT(SUBTOTAL(9,INDIRECT(LEFT(ADDRESS(1,COLUMN(),4),1+(COLUMN()&gt;26))&amp;ROW(7:192)))*($C$7:$C$192="PK"))</f>
        <v>0</v>
      </c>
      <c r="N3" s="47">
        <f ca="1">SUM(E3:H3)</f>
        <v>2804.7802339999471</v>
      </c>
      <c r="O3" s="50"/>
      <c r="P3" s="50"/>
      <c r="Q3" s="50"/>
      <c r="R3" s="50"/>
      <c r="S3" s="50"/>
      <c r="T3" s="50"/>
      <c r="U3" s="5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</row>
    <row r="4" spans="1:39" s="129" customFormat="1" ht="20.100000000000001" customHeight="1" x14ac:dyDescent="0.25">
      <c r="A4" s="111"/>
      <c r="B4" s="111"/>
      <c r="C4" s="49" t="s">
        <v>14</v>
      </c>
      <c r="D4" s="231">
        <f ca="1">D3/VLOOKUP(TEXT(D$2,"##"),Stunden!$A:$C,3,FALSE)</f>
        <v>-1.3150483351598172</v>
      </c>
      <c r="E4" s="73">
        <f ca="1">E3/VLOOKUP(TEXT(E$2,"##"),Stunden!$A:$C,3,FALSE)</f>
        <v>0.21864447260273356</v>
      </c>
      <c r="F4" s="73">
        <f ca="1">F3/VLOOKUP(TEXT(F$2,"##"),Stunden!$A:$C,3,FALSE)</f>
        <v>-3.1246949681238059E-2</v>
      </c>
      <c r="G4" s="73">
        <f ca="1">G3/VLOOKUP(TEXT(G$2,"##"),Stunden!$A:$C,3,FALSE)</f>
        <v>0.13286847716894934</v>
      </c>
      <c r="H4" s="235">
        <f ca="1">H3/VLOOKUP(TEXT(H$2,"##"),Stunden!$A:$C,3,FALSE)</f>
        <v>0</v>
      </c>
      <c r="I4" s="73">
        <f ca="1">I3/VLOOKUP(TEXT(I$2,"##"),Stunden!$A:$C,3,FALSE)</f>
        <v>0</v>
      </c>
      <c r="J4" s="73">
        <f ca="1">J3/VLOOKUP(TEXT(J$2,"##"),Stunden!$A:$C,3,FALSE)</f>
        <v>0</v>
      </c>
      <c r="K4" s="73">
        <f ca="1">K3/VLOOKUP(TEXT(K$2,"##"),Stunden!$A:$C,3,FALSE)</f>
        <v>0</v>
      </c>
      <c r="L4" s="73" t="e">
        <f ca="1">L3/VLOOKUP(TEXT(L$2,"##"),Stunden!$A:$C,3,FALSE)</f>
        <v>#N/A</v>
      </c>
      <c r="M4" s="73" t="e">
        <f ca="1">M3/VLOOKUP(TEXT(M$2,"##"),Stunden!$A:$C,3,FALSE)</f>
        <v>#N/A</v>
      </c>
      <c r="N4" s="72">
        <f ca="1">SUM(E4:H4)</f>
        <v>0.32026600009044481</v>
      </c>
      <c r="O4" s="246"/>
      <c r="P4" s="50"/>
      <c r="Q4" s="50"/>
      <c r="R4" s="50"/>
      <c r="S4" s="50"/>
      <c r="T4" s="50"/>
      <c r="U4" s="5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</row>
    <row r="5" spans="1:39" s="129" customFormat="1" ht="20.100000000000001" customHeight="1" x14ac:dyDescent="0.25">
      <c r="A5" s="115" t="s">
        <v>132</v>
      </c>
      <c r="B5" s="115"/>
      <c r="C5" s="360" t="s">
        <v>14</v>
      </c>
      <c r="D5" s="361"/>
      <c r="E5" s="361"/>
      <c r="F5" s="361"/>
      <c r="G5" s="361"/>
      <c r="H5" s="362"/>
      <c r="I5" s="363"/>
      <c r="J5" s="364"/>
      <c r="K5" s="364"/>
      <c r="L5" s="364"/>
      <c r="M5" s="364"/>
      <c r="N5" s="365"/>
      <c r="O5" s="50"/>
      <c r="P5" s="50"/>
      <c r="Q5" s="50"/>
      <c r="R5" s="50"/>
      <c r="S5" s="50"/>
      <c r="T5" s="50"/>
      <c r="U5" s="5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</row>
    <row r="6" spans="1:39" s="129" customFormat="1" ht="20.100000000000001" customHeight="1" x14ac:dyDescent="0.25">
      <c r="A6" s="116" t="s">
        <v>24</v>
      </c>
      <c r="B6" s="117" t="s">
        <v>30</v>
      </c>
      <c r="C6" s="117" t="s">
        <v>27</v>
      </c>
      <c r="D6" s="118">
        <f t="shared" ref="D6:M6" si="1">D2</f>
        <v>2026</v>
      </c>
      <c r="E6" s="118">
        <f t="shared" si="1"/>
        <v>2027</v>
      </c>
      <c r="F6" s="118">
        <f t="shared" si="1"/>
        <v>2028</v>
      </c>
      <c r="G6" s="118">
        <f t="shared" si="1"/>
        <v>2029</v>
      </c>
      <c r="H6" s="119">
        <f t="shared" si="1"/>
        <v>2030</v>
      </c>
      <c r="I6" s="135">
        <f t="shared" si="1"/>
        <v>2031</v>
      </c>
      <c r="J6" s="135">
        <f t="shared" si="1"/>
        <v>2032</v>
      </c>
      <c r="K6" s="135">
        <f t="shared" si="1"/>
        <v>2033</v>
      </c>
      <c r="L6" s="135">
        <f t="shared" si="1"/>
        <v>2034</v>
      </c>
      <c r="M6" s="135">
        <f t="shared" si="1"/>
        <v>2035</v>
      </c>
      <c r="N6" s="52"/>
      <c r="O6" s="50"/>
      <c r="P6" s="50"/>
      <c r="Q6" s="50"/>
      <c r="R6" s="50"/>
      <c r="S6" s="50"/>
      <c r="T6" s="50"/>
      <c r="U6" s="5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</row>
    <row r="7" spans="1:39" s="129" customFormat="1" ht="20.100000000000001" customHeight="1" x14ac:dyDescent="0.25">
      <c r="A7" s="53">
        <v>46205.052083333336</v>
      </c>
      <c r="B7" s="69" t="s">
        <v>32</v>
      </c>
      <c r="C7" s="97" t="s">
        <v>25</v>
      </c>
      <c r="D7" s="232">
        <v>1129293.8910000001</v>
      </c>
      <c r="E7" s="55">
        <v>594936</v>
      </c>
      <c r="F7" s="55">
        <v>309196.79999999999</v>
      </c>
      <c r="G7" s="55">
        <v>105120</v>
      </c>
      <c r="H7" s="55">
        <v>17520</v>
      </c>
      <c r="I7" s="55"/>
      <c r="J7" s="55"/>
      <c r="K7" s="55"/>
      <c r="L7" s="55"/>
      <c r="M7" s="56"/>
      <c r="N7" s="57"/>
      <c r="O7" s="50"/>
      <c r="P7" s="50"/>
      <c r="Q7" s="50"/>
      <c r="R7" s="50"/>
      <c r="S7" s="50"/>
      <c r="T7" s="50"/>
      <c r="U7" s="5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</row>
    <row r="8" spans="1:39" s="129" customFormat="1" ht="20.100000000000001" customHeight="1" x14ac:dyDescent="0.25">
      <c r="A8" s="58">
        <v>46205.052083333336</v>
      </c>
      <c r="B8" s="70" t="s">
        <v>32</v>
      </c>
      <c r="C8" s="59" t="s">
        <v>26</v>
      </c>
      <c r="D8" s="233">
        <v>1117774.0675840001</v>
      </c>
      <c r="E8" s="60">
        <v>600611.32557999995</v>
      </c>
      <c r="F8" s="60">
        <v>308922.32679399999</v>
      </c>
      <c r="G8" s="60">
        <v>112043.92786</v>
      </c>
      <c r="H8" s="60">
        <v>17520</v>
      </c>
      <c r="I8" s="60"/>
      <c r="J8" s="60"/>
      <c r="K8" s="60"/>
      <c r="L8" s="60"/>
      <c r="M8" s="61"/>
      <c r="N8" s="57"/>
      <c r="O8" s="50"/>
      <c r="P8" s="50"/>
      <c r="Q8" s="50"/>
      <c r="R8" s="50"/>
      <c r="S8" s="50"/>
      <c r="T8" s="50"/>
      <c r="U8" s="5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</row>
    <row r="9" spans="1:39" s="129" customFormat="1" ht="20.100000000000001" customHeight="1" x14ac:dyDescent="0.25">
      <c r="A9" s="132"/>
      <c r="B9" s="133" t="s">
        <v>153</v>
      </c>
      <c r="C9" s="89" t="s">
        <v>26</v>
      </c>
      <c r="D9" s="63"/>
      <c r="E9" s="130">
        <v>5000</v>
      </c>
      <c r="F9" s="130"/>
      <c r="G9" s="130">
        <v>3000</v>
      </c>
      <c r="H9" s="130"/>
      <c r="I9" s="55"/>
      <c r="J9" s="55"/>
      <c r="K9" s="55"/>
      <c r="L9" s="55"/>
      <c r="M9" s="56"/>
      <c r="N9" s="62"/>
      <c r="O9" s="50"/>
      <c r="P9" s="50"/>
      <c r="Q9" s="50"/>
      <c r="R9" s="50"/>
      <c r="S9" s="50"/>
      <c r="T9" s="50"/>
      <c r="U9" s="50"/>
      <c r="V9" s="141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</row>
    <row r="10" spans="1:39" s="129" customFormat="1" ht="20.100000000000001" customHeight="1" x14ac:dyDescent="0.25">
      <c r="A10" s="132"/>
      <c r="B10" s="88" t="s">
        <v>157</v>
      </c>
      <c r="C10" s="89" t="s">
        <v>25</v>
      </c>
      <c r="D10" s="63"/>
      <c r="E10" s="63">
        <v>8760</v>
      </c>
      <c r="F10" s="63"/>
      <c r="G10" s="63">
        <v>8760</v>
      </c>
      <c r="H10" s="130"/>
      <c r="I10" s="55"/>
      <c r="J10" s="55"/>
      <c r="K10" s="55"/>
      <c r="L10" s="55"/>
      <c r="M10" s="56"/>
      <c r="N10" s="50"/>
      <c r="O10" s="50"/>
      <c r="P10" s="50"/>
      <c r="Q10" s="50"/>
      <c r="R10" s="50"/>
      <c r="S10" s="50"/>
      <c r="T10" s="50"/>
      <c r="U10" s="5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</row>
    <row r="11" spans="1:39" s="129" customFormat="1" ht="20.100000000000001" customHeight="1" x14ac:dyDescent="0.25">
      <c r="A11" s="132"/>
      <c r="B11" s="133"/>
      <c r="C11" s="89"/>
      <c r="D11" s="63"/>
      <c r="E11" s="63"/>
      <c r="F11" s="63"/>
      <c r="G11" s="63"/>
      <c r="H11" s="130"/>
      <c r="I11" s="55"/>
      <c r="J11" s="55"/>
      <c r="K11" s="55"/>
      <c r="L11" s="55"/>
      <c r="M11" s="56"/>
      <c r="N11" s="50"/>
      <c r="O11" s="50"/>
      <c r="P11" s="50"/>
      <c r="Q11" s="50"/>
      <c r="R11" s="50"/>
      <c r="S11" s="50"/>
      <c r="T11" s="50"/>
      <c r="U11" s="50"/>
      <c r="V11" s="141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</row>
    <row r="12" spans="1:39" s="129" customFormat="1" ht="20.100000000000001" customHeight="1" x14ac:dyDescent="0.25">
      <c r="A12" s="132"/>
      <c r="B12" s="88"/>
      <c r="C12" s="89"/>
      <c r="D12" s="63"/>
      <c r="E12" s="63"/>
      <c r="F12" s="63"/>
      <c r="G12" s="63"/>
      <c r="H12" s="63"/>
      <c r="I12" s="55"/>
      <c r="J12" s="55"/>
      <c r="K12" s="55"/>
      <c r="L12" s="55"/>
      <c r="M12" s="56"/>
      <c r="N12" s="50"/>
      <c r="O12" s="50"/>
      <c r="P12" s="50"/>
      <c r="Q12" s="50"/>
      <c r="R12" s="50"/>
      <c r="S12" s="50"/>
      <c r="T12" s="50"/>
      <c r="U12" s="50"/>
      <c r="V12" s="141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</row>
    <row r="13" spans="1:39" s="129" customFormat="1" ht="20.100000000000001" customHeight="1" x14ac:dyDescent="0.25">
      <c r="A13" s="132"/>
      <c r="B13" s="133"/>
      <c r="C13" s="89"/>
      <c r="D13" s="63"/>
      <c r="E13" s="63"/>
      <c r="F13" s="63"/>
      <c r="G13" s="63"/>
      <c r="H13" s="63"/>
      <c r="I13" s="55"/>
      <c r="J13" s="55"/>
      <c r="K13" s="55"/>
      <c r="L13" s="55"/>
      <c r="M13" s="56"/>
      <c r="N13" s="50"/>
      <c r="O13" s="50"/>
      <c r="P13" s="50"/>
      <c r="Q13" s="50"/>
      <c r="R13" s="50"/>
      <c r="S13" s="50"/>
      <c r="T13" s="50"/>
      <c r="U13" s="5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</row>
    <row r="14" spans="1:39" s="129" customFormat="1" ht="20.100000000000001" customHeight="1" x14ac:dyDescent="0.25">
      <c r="A14" s="132"/>
      <c r="B14" s="133"/>
      <c r="C14" s="89"/>
      <c r="D14" s="63"/>
      <c r="E14" s="63"/>
      <c r="F14" s="63"/>
      <c r="G14" s="63"/>
      <c r="H14" s="63"/>
      <c r="I14" s="55"/>
      <c r="J14" s="55"/>
      <c r="K14" s="55"/>
      <c r="L14" s="55"/>
      <c r="M14" s="56"/>
      <c r="N14" s="50"/>
      <c r="O14" s="50"/>
      <c r="P14" s="50"/>
      <c r="Q14" s="50"/>
      <c r="R14" s="50"/>
      <c r="S14" s="50"/>
      <c r="T14" s="50"/>
      <c r="U14" s="5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</row>
    <row r="15" spans="1:39" s="129" customFormat="1" ht="20.100000000000001" customHeight="1" x14ac:dyDescent="0.25">
      <c r="A15" s="132"/>
      <c r="B15" s="133"/>
      <c r="C15" s="89"/>
      <c r="D15" s="63"/>
      <c r="E15" s="63"/>
      <c r="F15" s="63"/>
      <c r="G15" s="63"/>
      <c r="H15" s="63"/>
      <c r="I15" s="55"/>
      <c r="J15" s="55"/>
      <c r="K15" s="55"/>
      <c r="L15" s="55"/>
      <c r="M15" s="56"/>
      <c r="N15" s="50"/>
      <c r="O15" s="50"/>
      <c r="P15" s="50"/>
      <c r="Q15" s="50"/>
      <c r="R15" s="50"/>
      <c r="S15" s="50"/>
      <c r="T15" s="50"/>
      <c r="U15" s="5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</row>
    <row r="16" spans="1:39" s="129" customFormat="1" ht="21" customHeight="1" x14ac:dyDescent="0.25">
      <c r="A16" s="132"/>
      <c r="B16" s="133"/>
      <c r="C16" s="89"/>
      <c r="D16" s="63"/>
      <c r="E16" s="63"/>
      <c r="F16" s="63"/>
      <c r="G16" s="63"/>
      <c r="H16" s="63"/>
      <c r="I16" s="55"/>
      <c r="J16" s="55"/>
      <c r="K16" s="55"/>
      <c r="L16" s="55"/>
      <c r="M16" s="56"/>
      <c r="N16" s="137"/>
      <c r="O16" s="249" t="s">
        <v>73</v>
      </c>
      <c r="P16" s="250"/>
      <c r="Q16" s="156"/>
      <c r="R16" s="251">
        <f>MIN(Handelskalender!A3:A167)</f>
        <v>46234</v>
      </c>
      <c r="S16" s="252" t="str">
        <f ca="1">"-&gt; "&amp;"in "&amp;R16-TODAY()&amp;" Tagen"&amp;""</f>
        <v>-&gt; in 28 Tagen</v>
      </c>
      <c r="T16" s="253"/>
      <c r="U16" s="253"/>
      <c r="V16" s="155"/>
      <c r="W16" s="245"/>
      <c r="X16" s="245"/>
      <c r="Y16" s="245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</row>
    <row r="17" spans="1:39" s="129" customFormat="1" ht="20.100000000000001" customHeight="1" x14ac:dyDescent="0.25">
      <c r="A17" s="132"/>
      <c r="B17" s="88"/>
      <c r="C17" s="315"/>
      <c r="D17" s="316"/>
      <c r="E17" s="63"/>
      <c r="F17" s="63"/>
      <c r="G17" s="63"/>
      <c r="H17" s="63"/>
      <c r="I17" s="55"/>
      <c r="J17" s="55"/>
      <c r="K17" s="55"/>
      <c r="L17" s="55"/>
      <c r="M17" s="56"/>
      <c r="N17" s="137"/>
      <c r="O17" s="254" t="s">
        <v>101</v>
      </c>
      <c r="P17" s="255"/>
      <c r="Q17" s="138"/>
      <c r="R17" s="138" t="str">
        <f>IF(SUM(Limitorder!E5:F1048576)&lt;&gt;0,"Limit aktiv","Kein Limit gesetzt")</f>
        <v>Limit aktiv</v>
      </c>
      <c r="S17" s="138" t="str" cm="1">
        <f t="array" ref="S17">IF(R17="Kein Limit gesetzt","",IF(OR(SUMIF(Limitorder!I5:I161,"&gt;0",Limitorder!I5:I161)&lt;&gt;0,(SUMIF(Limitorder!J5:J161,"&lt;0",Limitorder!J5:J161)&lt;&gt;0)), "LIMIT erreicht","-&gt; Ausführung "&amp;ROUND(MIN(IF(ISNUMBER(Limitorder!I5:J21),ABS(Limitorder!I5:J21))),2)&amp;" €/MWh entfernt"))</f>
        <v>LIMIT erreicht</v>
      </c>
      <c r="T17" s="138"/>
      <c r="U17" s="138"/>
      <c r="V17" s="256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</row>
    <row r="18" spans="1:39" s="129" customFormat="1" ht="20.100000000000001" customHeight="1" x14ac:dyDescent="0.25">
      <c r="A18" s="132"/>
      <c r="B18" s="133"/>
      <c r="C18" s="89"/>
      <c r="D18" s="63"/>
      <c r="E18" s="63"/>
      <c r="F18" s="63"/>
      <c r="G18" s="63"/>
      <c r="H18" s="292"/>
      <c r="I18" s="55"/>
      <c r="J18" s="55"/>
      <c r="K18" s="55"/>
      <c r="L18" s="55"/>
      <c r="M18" s="56"/>
      <c r="N18" s="50"/>
      <c r="O18" s="156"/>
      <c r="P18" s="257"/>
      <c r="Q18" s="156"/>
      <c r="R18" s="258"/>
      <c r="S18" s="259"/>
      <c r="T18" s="260"/>
      <c r="U18" s="260"/>
      <c r="V18" s="261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</row>
    <row r="19" spans="1:39" s="129" customFormat="1" ht="20.100000000000001" customHeight="1" x14ac:dyDescent="0.25">
      <c r="A19" s="87"/>
      <c r="B19" s="88"/>
      <c r="C19" s="89"/>
      <c r="D19" s="63"/>
      <c r="E19" s="63"/>
      <c r="F19" s="63"/>
      <c r="G19" s="63"/>
      <c r="H19" s="130"/>
      <c r="I19" s="55"/>
      <c r="J19" s="55"/>
      <c r="K19" s="55"/>
      <c r="L19" s="55"/>
      <c r="M19" s="56"/>
      <c r="N19" s="50"/>
      <c r="O19" s="262"/>
      <c r="P19" s="50"/>
      <c r="Q19" s="50"/>
      <c r="R19" s="263"/>
      <c r="S19" s="264"/>
      <c r="T19" s="264"/>
      <c r="U19" s="161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</row>
    <row r="20" spans="1:39" s="129" customFormat="1" ht="20.100000000000001" customHeight="1" x14ac:dyDescent="0.25">
      <c r="A20" s="132"/>
      <c r="B20" s="133"/>
      <c r="C20" s="89"/>
      <c r="D20" s="63"/>
      <c r="E20" s="130"/>
      <c r="F20" s="130"/>
      <c r="G20" s="130"/>
      <c r="H20" s="130"/>
      <c r="I20" s="55"/>
      <c r="J20" s="55"/>
      <c r="K20" s="55"/>
      <c r="L20" s="55"/>
      <c r="M20" s="56"/>
      <c r="N20" s="50"/>
      <c r="O20" s="147"/>
      <c r="P20" s="148"/>
      <c r="Q20" s="146"/>
      <c r="R20" s="146"/>
      <c r="S20" s="146"/>
      <c r="T20" s="144"/>
      <c r="U20" s="146"/>
      <c r="V20" s="146"/>
      <c r="W20" s="149"/>
      <c r="X20" s="149"/>
      <c r="Y20" s="149"/>
      <c r="Z20" s="142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</row>
    <row r="21" spans="1:39" ht="20.100000000000001" customHeight="1" x14ac:dyDescent="0.25">
      <c r="A21" s="87"/>
      <c r="B21" s="88"/>
      <c r="C21" s="89"/>
      <c r="D21" s="63"/>
      <c r="E21" s="130"/>
      <c r="F21" s="130"/>
      <c r="G21" s="130"/>
      <c r="H21" s="130"/>
      <c r="I21" s="55"/>
      <c r="J21" s="55"/>
      <c r="K21" s="55"/>
      <c r="L21" s="55"/>
      <c r="M21" s="56"/>
      <c r="N21" s="50"/>
      <c r="O21" s="332"/>
      <c r="Q21" s="148"/>
      <c r="R21" s="148"/>
      <c r="S21" s="148"/>
      <c r="T21" s="148"/>
      <c r="U21" s="148"/>
      <c r="V21" s="148"/>
      <c r="W21" s="148"/>
      <c r="X21" s="289"/>
      <c r="Y21" s="289"/>
      <c r="Z21" s="290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  <c r="AM21" s="245"/>
    </row>
    <row r="22" spans="1:39" ht="20.100000000000001" customHeight="1" x14ac:dyDescent="0.25">
      <c r="A22" s="87"/>
      <c r="B22" s="88"/>
      <c r="C22" s="89"/>
      <c r="D22" s="63"/>
      <c r="E22" s="130"/>
      <c r="F22" s="130"/>
      <c r="G22" s="130"/>
      <c r="H22" s="130"/>
      <c r="I22" s="55"/>
      <c r="J22" s="55"/>
      <c r="K22" s="55"/>
      <c r="L22" s="55"/>
      <c r="M22" s="56"/>
      <c r="N22" s="50"/>
      <c r="O22" s="147"/>
      <c r="P22" s="148"/>
      <c r="Q22" s="148"/>
      <c r="R22" s="148"/>
      <c r="S22" s="148"/>
      <c r="T22" s="148"/>
      <c r="U22" s="148"/>
      <c r="V22" s="148"/>
      <c r="W22" s="148"/>
      <c r="X22" s="289"/>
      <c r="Y22" s="289"/>
      <c r="Z22" s="290"/>
      <c r="AA22" s="245"/>
      <c r="AB22" s="245"/>
      <c r="AC22" s="245"/>
      <c r="AD22" s="245"/>
      <c r="AE22" s="245"/>
      <c r="AF22" s="245"/>
      <c r="AG22" s="245"/>
      <c r="AH22" s="245"/>
      <c r="AI22" s="245"/>
      <c r="AJ22" s="245"/>
      <c r="AK22" s="245"/>
      <c r="AL22" s="245"/>
      <c r="AM22" s="245"/>
    </row>
    <row r="23" spans="1:39" ht="20.100000000000001" customHeight="1" x14ac:dyDescent="0.25">
      <c r="A23" s="87"/>
      <c r="B23" s="88"/>
      <c r="C23" s="89"/>
      <c r="D23" s="63"/>
      <c r="E23" s="130"/>
      <c r="F23" s="130"/>
      <c r="G23" s="130"/>
      <c r="H23" s="130"/>
      <c r="I23" s="55"/>
      <c r="J23" s="55"/>
      <c r="K23" s="55"/>
      <c r="L23" s="55"/>
      <c r="M23" s="56"/>
      <c r="N23" s="50"/>
      <c r="O23" s="147"/>
      <c r="P23" s="148"/>
      <c r="Q23" s="148"/>
      <c r="R23" s="148"/>
      <c r="S23" s="148"/>
      <c r="T23" s="291"/>
      <c r="U23" s="291"/>
      <c r="V23" s="291"/>
      <c r="W23" s="291"/>
      <c r="X23" s="291"/>
      <c r="Y23" s="291"/>
      <c r="Z23" s="291"/>
      <c r="AA23" s="245"/>
      <c r="AB23" s="245"/>
      <c r="AC23" s="245"/>
      <c r="AD23" s="245"/>
      <c r="AE23" s="245"/>
      <c r="AF23" s="245"/>
      <c r="AG23" s="245"/>
      <c r="AH23" s="245"/>
      <c r="AI23" s="245"/>
      <c r="AJ23" s="245"/>
      <c r="AK23" s="245"/>
      <c r="AL23" s="245"/>
      <c r="AM23" s="245"/>
    </row>
    <row r="24" spans="1:39" ht="20.100000000000001" customHeight="1" x14ac:dyDescent="0.25">
      <c r="A24" s="87"/>
      <c r="B24" s="88"/>
      <c r="C24" s="89"/>
      <c r="D24" s="63"/>
      <c r="E24" s="130"/>
      <c r="F24" s="130"/>
      <c r="G24" s="130"/>
      <c r="H24" s="130"/>
      <c r="I24" s="55"/>
      <c r="J24" s="55"/>
      <c r="K24" s="55"/>
      <c r="L24" s="55"/>
      <c r="M24" s="56"/>
      <c r="N24" s="147"/>
      <c r="O24" s="147"/>
      <c r="P24" s="148"/>
      <c r="Q24" s="148"/>
      <c r="R24" s="148"/>
      <c r="S24" s="148"/>
      <c r="T24" s="291"/>
      <c r="U24" s="291"/>
      <c r="V24" s="291"/>
      <c r="W24" s="291"/>
      <c r="X24" s="291"/>
      <c r="Y24" s="291"/>
      <c r="Z24" s="291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5"/>
      <c r="AL24" s="245"/>
      <c r="AM24" s="245"/>
    </row>
    <row r="25" spans="1:39" ht="20.100000000000001" customHeight="1" x14ac:dyDescent="0.25">
      <c r="A25" s="87"/>
      <c r="B25" s="88"/>
      <c r="C25" s="89"/>
      <c r="D25" s="63"/>
      <c r="E25" s="130"/>
      <c r="F25" s="130"/>
      <c r="G25" s="130"/>
      <c r="H25" s="130"/>
      <c r="I25" s="55"/>
      <c r="J25" s="55"/>
      <c r="K25" s="55"/>
      <c r="L25" s="55"/>
      <c r="M25" s="56"/>
      <c r="N25" s="50"/>
      <c r="O25" s="147"/>
      <c r="P25" s="148"/>
      <c r="Q25" s="148"/>
      <c r="R25" s="148"/>
      <c r="S25" s="148"/>
      <c r="T25" s="291"/>
      <c r="U25" s="291"/>
      <c r="V25" s="291"/>
      <c r="W25" s="291"/>
      <c r="X25" s="291"/>
      <c r="Y25" s="291"/>
      <c r="Z25" s="291"/>
      <c r="AA25" s="245"/>
      <c r="AB25" s="245"/>
      <c r="AC25" s="245"/>
      <c r="AD25" s="245"/>
      <c r="AE25" s="245"/>
      <c r="AF25" s="245"/>
      <c r="AG25" s="245"/>
      <c r="AH25" s="245"/>
      <c r="AI25" s="245"/>
      <c r="AJ25" s="245"/>
      <c r="AK25" s="245"/>
      <c r="AL25" s="245"/>
      <c r="AM25" s="245"/>
    </row>
    <row r="26" spans="1:39" ht="20.100000000000001" customHeight="1" x14ac:dyDescent="0.25">
      <c r="A26" s="87"/>
      <c r="B26" s="88"/>
      <c r="C26" s="89"/>
      <c r="D26" s="63"/>
      <c r="E26" s="130"/>
      <c r="F26" s="130"/>
      <c r="G26" s="130"/>
      <c r="H26" s="130"/>
      <c r="I26" s="55"/>
      <c r="J26" s="55"/>
      <c r="K26" s="55"/>
      <c r="L26" s="55"/>
      <c r="M26" s="56"/>
      <c r="N26" s="50"/>
      <c r="O26" s="147"/>
      <c r="P26" s="148"/>
      <c r="Q26" s="148"/>
      <c r="R26" s="148"/>
      <c r="S26" s="148"/>
      <c r="T26" s="291"/>
      <c r="U26" s="291"/>
      <c r="V26" s="291"/>
      <c r="W26" s="291"/>
      <c r="X26" s="291"/>
      <c r="Y26" s="291"/>
      <c r="Z26" s="291"/>
      <c r="AA26" s="245"/>
      <c r="AB26" s="245"/>
      <c r="AC26" s="245"/>
      <c r="AD26" s="245"/>
      <c r="AE26" s="245"/>
      <c r="AF26" s="245"/>
      <c r="AG26" s="245"/>
      <c r="AH26" s="245"/>
      <c r="AI26" s="245"/>
      <c r="AJ26" s="245"/>
      <c r="AK26" s="245"/>
      <c r="AL26" s="245"/>
      <c r="AM26" s="245"/>
    </row>
    <row r="27" spans="1:39" ht="20.100000000000001" customHeight="1" x14ac:dyDescent="0.25">
      <c r="A27" s="87"/>
      <c r="B27" s="88"/>
      <c r="C27" s="89"/>
      <c r="D27" s="63"/>
      <c r="E27" s="130"/>
      <c r="F27" s="130"/>
      <c r="G27" s="130"/>
      <c r="H27" s="130"/>
      <c r="I27" s="55"/>
      <c r="J27" s="55"/>
      <c r="K27" s="55"/>
      <c r="L27" s="55"/>
      <c r="M27" s="56"/>
      <c r="N27" s="147"/>
      <c r="O27" s="147"/>
      <c r="P27" s="148"/>
      <c r="Q27" s="148"/>
      <c r="R27" s="148"/>
      <c r="S27" s="148"/>
      <c r="T27" s="291"/>
      <c r="U27" s="291"/>
      <c r="V27" s="291"/>
      <c r="W27" s="291"/>
      <c r="X27" s="291"/>
      <c r="Y27" s="291"/>
      <c r="Z27" s="291"/>
      <c r="AA27" s="245"/>
      <c r="AB27" s="245"/>
      <c r="AC27" s="245"/>
      <c r="AD27" s="245"/>
      <c r="AE27" s="245"/>
      <c r="AF27" s="245"/>
      <c r="AG27" s="245"/>
      <c r="AH27" s="245"/>
      <c r="AI27" s="245"/>
      <c r="AJ27" s="245"/>
      <c r="AK27" s="245"/>
      <c r="AL27" s="245"/>
      <c r="AM27" s="245"/>
    </row>
    <row r="28" spans="1:39" ht="20.100000000000001" customHeight="1" x14ac:dyDescent="0.25">
      <c r="A28" s="87"/>
      <c r="B28" s="88"/>
      <c r="C28" s="89"/>
      <c r="D28" s="63"/>
      <c r="E28" s="130"/>
      <c r="F28" s="130"/>
      <c r="G28" s="130"/>
      <c r="H28" s="130"/>
      <c r="I28" s="55"/>
      <c r="J28" s="55"/>
      <c r="K28" s="55"/>
      <c r="L28" s="55"/>
      <c r="M28" s="56"/>
      <c r="N28" s="50"/>
      <c r="O28" s="147"/>
      <c r="P28" s="148"/>
      <c r="Q28" s="148"/>
      <c r="R28" s="148"/>
      <c r="S28" s="148"/>
      <c r="T28" s="291"/>
      <c r="U28" s="288"/>
      <c r="V28" s="288"/>
      <c r="W28" s="148"/>
      <c r="X28" s="245"/>
      <c r="Y28" s="245"/>
      <c r="Z28" s="245"/>
      <c r="AA28" s="245"/>
      <c r="AB28" s="245"/>
      <c r="AC28" s="245"/>
      <c r="AD28" s="245"/>
      <c r="AE28" s="245"/>
      <c r="AF28" s="245"/>
      <c r="AG28" s="245"/>
      <c r="AH28" s="245"/>
      <c r="AI28" s="245"/>
      <c r="AJ28" s="245"/>
      <c r="AK28" s="245"/>
      <c r="AL28" s="245"/>
      <c r="AM28" s="245"/>
    </row>
    <row r="29" spans="1:39" ht="20.100000000000001" customHeight="1" x14ac:dyDescent="0.25">
      <c r="A29" s="87"/>
      <c r="B29" s="88"/>
      <c r="C29" s="89"/>
      <c r="D29" s="63"/>
      <c r="E29" s="130"/>
      <c r="F29" s="130"/>
      <c r="G29" s="130"/>
      <c r="H29" s="130"/>
      <c r="I29" s="55"/>
      <c r="J29" s="55"/>
      <c r="K29" s="55"/>
      <c r="L29" s="55"/>
      <c r="M29" s="56"/>
      <c r="O29" s="147"/>
      <c r="P29" s="148"/>
      <c r="Q29" s="148"/>
      <c r="R29" s="148"/>
      <c r="S29" s="148"/>
      <c r="T29" s="288"/>
      <c r="U29" s="288"/>
      <c r="V29" s="288"/>
      <c r="W29" s="148"/>
      <c r="X29" s="245"/>
      <c r="Y29" s="245"/>
      <c r="Z29" s="245"/>
      <c r="AA29" s="245"/>
      <c r="AB29" s="245"/>
      <c r="AC29" s="245"/>
      <c r="AD29" s="245"/>
      <c r="AE29" s="245"/>
      <c r="AF29" s="245"/>
      <c r="AG29" s="245"/>
      <c r="AH29" s="245"/>
      <c r="AI29" s="245"/>
      <c r="AJ29" s="245"/>
      <c r="AK29" s="245"/>
      <c r="AL29" s="245"/>
      <c r="AM29" s="245"/>
    </row>
    <row r="30" spans="1:39" ht="20.100000000000001" customHeight="1" x14ac:dyDescent="0.25">
      <c r="A30" s="132"/>
      <c r="B30" s="133"/>
      <c r="C30" s="89"/>
      <c r="D30" s="63"/>
      <c r="E30" s="130"/>
      <c r="F30" s="130"/>
      <c r="G30" s="130"/>
      <c r="H30" s="130"/>
      <c r="I30" s="55"/>
      <c r="J30" s="55"/>
      <c r="K30" s="55"/>
      <c r="L30" s="55"/>
      <c r="M30" s="56"/>
      <c r="N30" s="147"/>
      <c r="O30" s="147"/>
      <c r="P30" s="148"/>
      <c r="Q30" s="148"/>
      <c r="R30" s="148"/>
      <c r="S30" s="148"/>
      <c r="T30" s="288"/>
      <c r="U30" s="288"/>
      <c r="V30" s="288"/>
      <c r="W30" s="148"/>
      <c r="X30" s="245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45"/>
      <c r="AK30" s="245"/>
      <c r="AL30" s="245"/>
      <c r="AM30" s="245"/>
    </row>
    <row r="31" spans="1:39" ht="20.100000000000001" customHeight="1" x14ac:dyDescent="0.25">
      <c r="A31" s="132"/>
      <c r="B31" s="133"/>
      <c r="C31" s="89"/>
      <c r="D31" s="63"/>
      <c r="E31" s="130"/>
      <c r="F31" s="130"/>
      <c r="G31" s="130"/>
      <c r="H31" s="130"/>
      <c r="I31" s="55"/>
      <c r="J31" s="55"/>
      <c r="K31" s="55"/>
      <c r="L31" s="55"/>
      <c r="M31" s="56"/>
      <c r="N31" s="50"/>
      <c r="O31" s="147"/>
      <c r="P31" s="148"/>
      <c r="Q31" s="148"/>
      <c r="R31" s="148"/>
      <c r="S31" s="148"/>
      <c r="T31" s="288"/>
      <c r="U31" s="288"/>
      <c r="V31" s="288"/>
      <c r="W31" s="148"/>
      <c r="X31" s="245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5"/>
      <c r="AJ31" s="245"/>
      <c r="AK31" s="245"/>
      <c r="AL31" s="245"/>
      <c r="AM31" s="245"/>
    </row>
    <row r="32" spans="1:39" ht="20.100000000000001" customHeight="1" x14ac:dyDescent="0.25">
      <c r="A32" s="87"/>
      <c r="B32" s="88"/>
      <c r="C32" s="89"/>
      <c r="D32" s="63"/>
      <c r="E32" s="130"/>
      <c r="F32" s="130"/>
      <c r="G32" s="130"/>
      <c r="H32" s="130"/>
      <c r="I32" s="63"/>
      <c r="J32" s="63"/>
      <c r="K32" s="63"/>
      <c r="L32" s="63"/>
      <c r="M32" s="64"/>
      <c r="N32" s="50"/>
      <c r="O32" s="147"/>
      <c r="P32" s="148"/>
      <c r="Q32" s="148"/>
      <c r="R32" s="288"/>
      <c r="S32" s="288"/>
      <c r="T32" s="288"/>
      <c r="U32" s="288"/>
      <c r="V32" s="288"/>
      <c r="W32" s="148"/>
      <c r="X32" s="245"/>
      <c r="Y32" s="245"/>
      <c r="Z32" s="245"/>
      <c r="AA32" s="245"/>
      <c r="AB32" s="245"/>
      <c r="AC32" s="245"/>
      <c r="AD32" s="245"/>
      <c r="AE32" s="245"/>
      <c r="AF32" s="245"/>
      <c r="AG32" s="245"/>
      <c r="AH32" s="245"/>
      <c r="AI32" s="245"/>
      <c r="AJ32" s="245"/>
      <c r="AK32" s="245"/>
      <c r="AL32" s="245"/>
      <c r="AM32" s="245"/>
    </row>
    <row r="33" spans="1:39" ht="20.100000000000001" customHeight="1" x14ac:dyDescent="0.25">
      <c r="A33" s="87"/>
      <c r="B33" s="88"/>
      <c r="C33" s="89"/>
      <c r="D33" s="63"/>
      <c r="E33" s="130"/>
      <c r="F33" s="130"/>
      <c r="G33" s="130"/>
      <c r="H33" s="130"/>
      <c r="I33" s="63"/>
      <c r="J33" s="63"/>
      <c r="K33" s="63"/>
      <c r="L33" s="63"/>
      <c r="M33" s="64"/>
      <c r="N33" s="50"/>
      <c r="O33" s="148"/>
      <c r="P33" s="148"/>
      <c r="Q33" s="148"/>
      <c r="R33" s="288"/>
      <c r="S33" s="288"/>
      <c r="T33" s="288"/>
      <c r="U33" s="288"/>
      <c r="V33" s="288"/>
      <c r="W33" s="148"/>
      <c r="X33" s="245"/>
      <c r="Y33" s="245"/>
      <c r="Z33" s="245"/>
      <c r="AA33" s="245"/>
      <c r="AB33" s="245"/>
      <c r="AC33" s="245"/>
      <c r="AD33" s="245"/>
      <c r="AE33" s="245"/>
      <c r="AF33" s="245"/>
      <c r="AG33" s="245"/>
      <c r="AH33" s="245"/>
      <c r="AI33" s="245"/>
      <c r="AJ33" s="245"/>
      <c r="AK33" s="245"/>
      <c r="AL33" s="245"/>
      <c r="AM33" s="245"/>
    </row>
    <row r="34" spans="1:39" ht="20.100000000000001" customHeight="1" x14ac:dyDescent="0.25">
      <c r="A34" s="87"/>
      <c r="B34" s="88"/>
      <c r="C34" s="89"/>
      <c r="D34" s="63"/>
      <c r="E34" s="130"/>
      <c r="F34" s="130"/>
      <c r="G34" s="130"/>
      <c r="H34" s="130"/>
      <c r="I34" s="63"/>
      <c r="J34" s="63"/>
      <c r="K34" s="63"/>
      <c r="L34" s="63"/>
      <c r="M34" s="64"/>
      <c r="N34" s="50"/>
      <c r="O34" s="148"/>
      <c r="P34" s="148"/>
      <c r="Q34" s="148"/>
      <c r="R34" s="288"/>
      <c r="S34" s="288"/>
      <c r="T34" s="288"/>
      <c r="U34" s="288"/>
      <c r="V34" s="288"/>
      <c r="W34" s="148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</row>
    <row r="35" spans="1:39" ht="20.100000000000001" customHeight="1" x14ac:dyDescent="0.25">
      <c r="A35" s="87"/>
      <c r="B35" s="88"/>
      <c r="C35" s="89"/>
      <c r="D35" s="63"/>
      <c r="E35" s="130"/>
      <c r="F35" s="130"/>
      <c r="G35" s="130"/>
      <c r="H35" s="130"/>
      <c r="I35" s="63"/>
      <c r="J35" s="63"/>
      <c r="K35" s="63"/>
      <c r="L35" s="63"/>
      <c r="M35" s="64"/>
      <c r="N35" s="50"/>
      <c r="O35" s="148"/>
      <c r="P35" s="148"/>
      <c r="Q35" s="148"/>
      <c r="R35" s="288"/>
      <c r="S35" s="288"/>
      <c r="T35" s="288"/>
      <c r="U35" s="288"/>
      <c r="V35" s="288"/>
      <c r="W35" s="148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</row>
    <row r="36" spans="1:39" ht="20.100000000000001" customHeight="1" x14ac:dyDescent="0.25">
      <c r="A36" s="132"/>
      <c r="B36" s="133"/>
      <c r="C36" s="89"/>
      <c r="D36" s="63"/>
      <c r="E36" s="63"/>
      <c r="F36" s="63"/>
      <c r="G36" s="63" t="s">
        <v>141</v>
      </c>
      <c r="H36" s="63"/>
      <c r="I36" s="63"/>
      <c r="J36" s="63"/>
      <c r="K36" s="63"/>
      <c r="L36" s="63"/>
      <c r="M36" s="64"/>
      <c r="N36" s="50"/>
      <c r="O36" s="148"/>
      <c r="P36" s="148"/>
      <c r="Q36" s="148"/>
      <c r="R36" s="288"/>
      <c r="S36" s="288"/>
      <c r="T36" s="288"/>
      <c r="U36" s="288"/>
      <c r="V36" s="288"/>
      <c r="W36" s="148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  <c r="AL36" s="245"/>
      <c r="AM36" s="245"/>
    </row>
    <row r="37" spans="1:39" ht="20.100000000000001" customHeight="1" x14ac:dyDescent="0.25">
      <c r="A37" s="132"/>
      <c r="B37" s="133"/>
      <c r="C37" s="89"/>
      <c r="D37" s="63"/>
      <c r="E37" s="63"/>
      <c r="F37" s="63"/>
      <c r="G37" s="63"/>
      <c r="H37" s="63"/>
      <c r="I37" s="63"/>
      <c r="J37" s="63"/>
      <c r="K37" s="63"/>
      <c r="L37" s="63"/>
      <c r="M37" s="64"/>
      <c r="N37" s="50"/>
      <c r="O37" s="148"/>
      <c r="P37" s="148"/>
      <c r="Q37" s="148"/>
      <c r="R37" s="288"/>
      <c r="S37" s="288"/>
      <c r="T37" s="288"/>
      <c r="U37" s="288"/>
      <c r="V37" s="288"/>
      <c r="W37" s="148"/>
      <c r="X37" s="245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5"/>
      <c r="AL37" s="245"/>
      <c r="AM37" s="245"/>
    </row>
    <row r="38" spans="1:39" ht="20.100000000000001" customHeight="1" x14ac:dyDescent="0.25">
      <c r="A38" s="132"/>
      <c r="B38" s="133"/>
      <c r="C38" s="89"/>
      <c r="D38" s="63"/>
      <c r="E38" s="63"/>
      <c r="F38" s="63"/>
      <c r="G38" s="63"/>
      <c r="H38" s="63"/>
      <c r="I38" s="63"/>
      <c r="J38" s="63"/>
      <c r="K38" s="63"/>
      <c r="L38" s="63"/>
      <c r="M38" s="64"/>
      <c r="N38" s="50"/>
      <c r="O38" s="148"/>
      <c r="P38" s="148"/>
      <c r="Q38" s="148"/>
      <c r="R38" s="288"/>
      <c r="S38" s="288"/>
      <c r="T38" s="288"/>
      <c r="U38" s="288"/>
      <c r="V38" s="288"/>
      <c r="W38" s="148"/>
      <c r="X38" s="245"/>
      <c r="Y38" s="245"/>
      <c r="Z38" s="245"/>
      <c r="AA38" s="245"/>
      <c r="AB38" s="245"/>
      <c r="AC38" s="245"/>
      <c r="AD38" s="245"/>
      <c r="AE38" s="245"/>
      <c r="AF38" s="245"/>
      <c r="AG38" s="245"/>
      <c r="AH38" s="245"/>
      <c r="AI38" s="245"/>
      <c r="AJ38" s="245"/>
      <c r="AK38" s="245"/>
      <c r="AL38" s="245"/>
      <c r="AM38" s="245"/>
    </row>
    <row r="39" spans="1:39" ht="20.100000000000001" customHeight="1" x14ac:dyDescent="0.25">
      <c r="A39" s="132"/>
      <c r="B39" s="133"/>
      <c r="C39" s="89"/>
      <c r="D39" s="63"/>
      <c r="E39" s="63"/>
      <c r="F39" s="63"/>
      <c r="G39" s="63"/>
      <c r="H39" s="63"/>
      <c r="I39" s="63"/>
      <c r="J39" s="63"/>
      <c r="K39" s="63"/>
      <c r="L39" s="63"/>
      <c r="M39" s="64"/>
      <c r="N39" s="50"/>
      <c r="O39" s="245"/>
      <c r="P39" s="245"/>
      <c r="Q39" s="245"/>
      <c r="R39" s="245"/>
      <c r="S39" s="245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45"/>
      <c r="AH39" s="245"/>
      <c r="AI39" s="245"/>
      <c r="AJ39" s="245"/>
      <c r="AK39" s="245"/>
      <c r="AL39" s="245"/>
      <c r="AM39" s="245"/>
    </row>
    <row r="40" spans="1:39" ht="20.100000000000001" customHeight="1" x14ac:dyDescent="0.25">
      <c r="A40" s="132"/>
      <c r="B40" s="133"/>
      <c r="C40" s="89"/>
      <c r="D40" s="63"/>
      <c r="E40" s="63"/>
      <c r="F40" s="63"/>
      <c r="G40" s="63"/>
      <c r="H40" s="63"/>
      <c r="I40" s="63"/>
      <c r="J40" s="63"/>
      <c r="K40" s="63"/>
      <c r="L40" s="63"/>
      <c r="M40" s="64"/>
      <c r="N40" s="50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45"/>
      <c r="AA40" s="245"/>
      <c r="AB40" s="245"/>
      <c r="AC40" s="245"/>
      <c r="AD40" s="245"/>
      <c r="AE40" s="245"/>
      <c r="AF40" s="245"/>
      <c r="AG40" s="245"/>
      <c r="AH40" s="245"/>
      <c r="AI40" s="245"/>
      <c r="AJ40" s="245"/>
      <c r="AK40" s="245"/>
      <c r="AL40" s="245"/>
      <c r="AM40" s="245"/>
    </row>
    <row r="41" spans="1:39" ht="20.100000000000001" customHeight="1" x14ac:dyDescent="0.25">
      <c r="A41" s="132"/>
      <c r="B41" s="133"/>
      <c r="C41" s="89"/>
      <c r="D41" s="63"/>
      <c r="E41" s="63"/>
      <c r="F41" s="63"/>
      <c r="G41" s="63"/>
      <c r="H41" s="63"/>
      <c r="I41" s="63"/>
      <c r="J41" s="63"/>
      <c r="K41" s="63"/>
      <c r="L41" s="63"/>
      <c r="M41" s="64"/>
      <c r="N41" s="50"/>
      <c r="O41" s="245"/>
      <c r="P41" s="245"/>
      <c r="Q41" s="245"/>
      <c r="R41" s="245"/>
      <c r="S41" s="245"/>
      <c r="T41" s="245"/>
      <c r="U41" s="245"/>
      <c r="V41" s="245"/>
      <c r="W41" s="245"/>
      <c r="X41" s="245"/>
      <c r="Y41" s="245"/>
      <c r="Z41" s="245"/>
      <c r="AA41" s="245"/>
      <c r="AB41" s="245"/>
      <c r="AC41" s="245"/>
      <c r="AD41" s="245"/>
      <c r="AE41" s="245"/>
      <c r="AF41" s="245"/>
      <c r="AG41" s="245"/>
      <c r="AH41" s="245"/>
      <c r="AI41" s="245"/>
      <c r="AJ41" s="245"/>
      <c r="AK41" s="245"/>
      <c r="AL41" s="245"/>
      <c r="AM41" s="245"/>
    </row>
    <row r="42" spans="1:39" ht="20.100000000000001" customHeight="1" x14ac:dyDescent="0.25">
      <c r="A42" s="132"/>
      <c r="B42" s="133"/>
      <c r="C42" s="89"/>
      <c r="D42" s="63"/>
      <c r="E42" s="63"/>
      <c r="F42" s="63"/>
      <c r="G42" s="63"/>
      <c r="H42" s="63"/>
      <c r="I42" s="63"/>
      <c r="J42" s="63"/>
      <c r="K42" s="63"/>
      <c r="L42" s="63"/>
      <c r="M42" s="64"/>
      <c r="N42" s="50"/>
      <c r="O42" s="245"/>
      <c r="P42" s="245"/>
      <c r="Q42" s="245"/>
      <c r="R42" s="245"/>
      <c r="S42" s="245"/>
      <c r="T42" s="245"/>
      <c r="U42" s="245"/>
      <c r="V42" s="245"/>
      <c r="W42" s="245"/>
      <c r="X42" s="245"/>
      <c r="Y42" s="245"/>
      <c r="Z42" s="245"/>
      <c r="AA42" s="245"/>
      <c r="AB42" s="245"/>
      <c r="AC42" s="245"/>
      <c r="AD42" s="245"/>
      <c r="AE42" s="245"/>
      <c r="AF42" s="245"/>
      <c r="AG42" s="245"/>
      <c r="AH42" s="245"/>
      <c r="AI42" s="245"/>
      <c r="AJ42" s="245"/>
      <c r="AK42" s="245"/>
      <c r="AL42" s="245"/>
      <c r="AM42" s="245"/>
    </row>
    <row r="43" spans="1:39" ht="20.100000000000001" customHeight="1" x14ac:dyDescent="0.25">
      <c r="A43" s="132"/>
      <c r="B43" s="133"/>
      <c r="C43" s="89"/>
      <c r="D43" s="63"/>
      <c r="E43" s="63"/>
      <c r="F43" s="63"/>
      <c r="G43" s="63"/>
      <c r="H43" s="63"/>
      <c r="I43" s="63"/>
      <c r="J43" s="63"/>
      <c r="K43" s="63"/>
      <c r="L43" s="63"/>
      <c r="M43" s="64"/>
      <c r="N43" s="50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</row>
    <row r="44" spans="1:39" ht="20.100000000000001" customHeight="1" x14ac:dyDescent="0.25">
      <c r="A44" s="132"/>
      <c r="B44" s="133"/>
      <c r="C44" s="89"/>
      <c r="D44" s="63"/>
      <c r="E44" s="63"/>
      <c r="F44" s="63"/>
      <c r="G44" s="63"/>
      <c r="H44" s="63"/>
      <c r="I44" s="63"/>
      <c r="J44" s="63"/>
      <c r="K44" s="63"/>
      <c r="L44" s="63"/>
      <c r="M44" s="64"/>
      <c r="N44" s="50"/>
      <c r="O44" s="245"/>
      <c r="P44" s="245"/>
      <c r="Q44" s="245"/>
      <c r="R44" s="245"/>
      <c r="S44" s="245"/>
      <c r="T44" s="245"/>
      <c r="U44" s="245"/>
      <c r="V44" s="245"/>
      <c r="W44" s="245"/>
      <c r="X44" s="245"/>
      <c r="Y44" s="245"/>
      <c r="Z44" s="245"/>
      <c r="AA44" s="245"/>
      <c r="AB44" s="245"/>
      <c r="AC44" s="245"/>
      <c r="AD44" s="245"/>
      <c r="AE44" s="245"/>
      <c r="AF44" s="245"/>
      <c r="AG44" s="245"/>
      <c r="AH44" s="245"/>
      <c r="AI44" s="245"/>
      <c r="AJ44" s="245"/>
      <c r="AK44" s="245"/>
      <c r="AL44" s="245"/>
      <c r="AM44" s="245"/>
    </row>
    <row r="45" spans="1:39" ht="20.100000000000001" customHeight="1" x14ac:dyDescent="0.25">
      <c r="A45" s="132"/>
      <c r="B45" s="133"/>
      <c r="C45" s="89"/>
      <c r="D45" s="63"/>
      <c r="E45" s="63"/>
      <c r="F45" s="63"/>
      <c r="G45" s="63"/>
      <c r="H45" s="63"/>
      <c r="I45" s="63"/>
      <c r="J45" s="63"/>
      <c r="K45" s="63"/>
      <c r="L45" s="63"/>
      <c r="M45" s="64"/>
      <c r="N45" s="50"/>
      <c r="O45" s="245"/>
      <c r="P45" s="245"/>
      <c r="Q45" s="245"/>
      <c r="R45" s="245"/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/>
      <c r="AE45" s="245"/>
      <c r="AF45" s="245"/>
      <c r="AG45" s="245"/>
      <c r="AH45" s="245"/>
      <c r="AI45" s="245"/>
      <c r="AJ45" s="245"/>
      <c r="AK45" s="245"/>
      <c r="AL45" s="245"/>
      <c r="AM45" s="245"/>
    </row>
    <row r="46" spans="1:39" ht="20.100000000000001" customHeight="1" x14ac:dyDescent="0.25">
      <c r="A46" s="132"/>
      <c r="B46" s="133"/>
      <c r="C46" s="89"/>
      <c r="D46" s="63"/>
      <c r="E46" s="63"/>
      <c r="F46" s="63"/>
      <c r="G46" s="63"/>
      <c r="H46" s="63"/>
      <c r="I46" s="63"/>
      <c r="J46" s="63"/>
      <c r="K46" s="63"/>
      <c r="L46" s="63"/>
      <c r="M46" s="64"/>
      <c r="N46" s="50"/>
      <c r="O46" s="245"/>
      <c r="P46" s="245"/>
      <c r="Q46" s="245"/>
      <c r="R46" s="245"/>
      <c r="S46" s="245"/>
      <c r="T46" s="245"/>
      <c r="U46" s="245"/>
      <c r="V46" s="245"/>
      <c r="W46" s="245"/>
      <c r="X46" s="245"/>
      <c r="Y46" s="245"/>
      <c r="Z46" s="245"/>
      <c r="AA46" s="245"/>
      <c r="AB46" s="245"/>
      <c r="AC46" s="245"/>
      <c r="AD46" s="245"/>
      <c r="AE46" s="245"/>
      <c r="AF46" s="245"/>
      <c r="AG46" s="245"/>
      <c r="AH46" s="245"/>
      <c r="AI46" s="245"/>
      <c r="AJ46" s="245"/>
      <c r="AK46" s="245"/>
      <c r="AL46" s="245"/>
      <c r="AM46" s="245"/>
    </row>
    <row r="47" spans="1:39" ht="20.100000000000001" customHeight="1" x14ac:dyDescent="0.25">
      <c r="A47" s="65"/>
      <c r="B47" s="66"/>
      <c r="C47" s="54"/>
      <c r="D47" s="71"/>
      <c r="E47" s="63"/>
      <c r="F47" s="63"/>
      <c r="G47" s="63"/>
      <c r="H47" s="63"/>
      <c r="I47" s="63"/>
      <c r="J47" s="63"/>
      <c r="K47" s="63"/>
      <c r="L47" s="63"/>
      <c r="M47" s="64"/>
      <c r="N47" s="50"/>
      <c r="O47" s="245"/>
      <c r="P47" s="245"/>
      <c r="Q47" s="245"/>
      <c r="R47" s="245"/>
      <c r="S47" s="245"/>
      <c r="T47" s="245"/>
      <c r="U47" s="245"/>
      <c r="V47" s="245"/>
      <c r="W47" s="245"/>
      <c r="X47" s="245"/>
      <c r="Y47" s="245"/>
      <c r="Z47" s="245"/>
      <c r="AA47" s="245"/>
      <c r="AB47" s="245"/>
      <c r="AC47" s="245"/>
      <c r="AD47" s="245"/>
      <c r="AE47" s="245"/>
      <c r="AF47" s="245"/>
      <c r="AG47" s="245"/>
      <c r="AH47" s="245"/>
      <c r="AI47" s="245"/>
      <c r="AJ47" s="245"/>
      <c r="AK47" s="245"/>
      <c r="AL47" s="245"/>
      <c r="AM47" s="245"/>
    </row>
    <row r="48" spans="1:39" ht="20.100000000000001" customHeight="1" x14ac:dyDescent="0.25">
      <c r="A48" s="65"/>
      <c r="B48" s="66"/>
      <c r="C48" s="54"/>
      <c r="D48" s="71"/>
      <c r="E48" s="63"/>
      <c r="F48" s="63"/>
      <c r="G48" s="63"/>
      <c r="H48" s="63"/>
      <c r="I48" s="63"/>
      <c r="J48" s="63"/>
      <c r="K48" s="63"/>
      <c r="L48" s="63"/>
      <c r="M48" s="64"/>
      <c r="N48" s="50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  <c r="AL48" s="245"/>
      <c r="AM48" s="245"/>
    </row>
    <row r="49" spans="1:39" ht="20.100000000000001" customHeight="1" x14ac:dyDescent="0.25">
      <c r="A49" s="65"/>
      <c r="B49" s="66"/>
      <c r="C49" s="54"/>
      <c r="D49" s="71"/>
      <c r="E49" s="63"/>
      <c r="F49" s="63"/>
      <c r="G49" s="63"/>
      <c r="H49" s="63"/>
      <c r="I49" s="63"/>
      <c r="J49" s="63"/>
      <c r="K49" s="63"/>
      <c r="L49" s="63"/>
      <c r="M49" s="64"/>
      <c r="N49" s="50"/>
      <c r="O49" s="245"/>
      <c r="P49" s="245"/>
      <c r="Q49" s="245"/>
      <c r="R49" s="245"/>
      <c r="S49" s="245"/>
      <c r="T49" s="245"/>
      <c r="U49" s="245"/>
      <c r="V49" s="245"/>
      <c r="W49" s="245"/>
      <c r="X49" s="245"/>
      <c r="Y49" s="245"/>
      <c r="Z49" s="245"/>
      <c r="AA49" s="245"/>
      <c r="AB49" s="245"/>
      <c r="AC49" s="245"/>
      <c r="AD49" s="245"/>
      <c r="AE49" s="245"/>
      <c r="AF49" s="245"/>
      <c r="AG49" s="245"/>
      <c r="AH49" s="245"/>
      <c r="AI49" s="245"/>
      <c r="AJ49" s="245"/>
      <c r="AK49" s="245"/>
      <c r="AL49" s="245"/>
      <c r="AM49" s="245"/>
    </row>
    <row r="50" spans="1:39" ht="20.100000000000001" customHeight="1" x14ac:dyDescent="0.25">
      <c r="A50" s="65"/>
      <c r="B50" s="66"/>
      <c r="C50" s="54"/>
      <c r="D50" s="71"/>
      <c r="E50" s="63"/>
      <c r="F50" s="63"/>
      <c r="G50" s="63"/>
      <c r="H50" s="63"/>
      <c r="I50" s="63"/>
      <c r="J50" s="63"/>
      <c r="K50" s="63"/>
      <c r="L50" s="63"/>
      <c r="M50" s="64"/>
      <c r="N50" s="50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5"/>
      <c r="Z50" s="245"/>
      <c r="AA50" s="245"/>
      <c r="AB50" s="245"/>
      <c r="AC50" s="245"/>
      <c r="AD50" s="245"/>
      <c r="AE50" s="245"/>
      <c r="AF50" s="245"/>
      <c r="AG50" s="245"/>
      <c r="AH50" s="245"/>
      <c r="AI50" s="245"/>
      <c r="AJ50" s="245"/>
      <c r="AK50" s="245"/>
      <c r="AL50" s="245"/>
      <c r="AM50" s="245"/>
    </row>
    <row r="51" spans="1:39" ht="20.100000000000001" customHeight="1" x14ac:dyDescent="0.25">
      <c r="A51" s="65"/>
      <c r="B51" s="66"/>
      <c r="C51" s="54"/>
      <c r="D51" s="71"/>
      <c r="E51" s="63"/>
      <c r="F51" s="63"/>
      <c r="G51" s="63"/>
      <c r="H51" s="63"/>
      <c r="I51" s="63"/>
      <c r="J51" s="63"/>
      <c r="K51" s="63"/>
      <c r="L51" s="63"/>
      <c r="M51" s="64"/>
      <c r="N51" s="50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</row>
    <row r="52" spans="1:39" ht="20.100000000000001" customHeight="1" x14ac:dyDescent="0.25">
      <c r="A52" s="65"/>
      <c r="B52" s="66"/>
      <c r="C52" s="54"/>
      <c r="D52" s="71"/>
      <c r="E52" s="63"/>
      <c r="F52" s="63"/>
      <c r="G52" s="63"/>
      <c r="H52" s="63"/>
      <c r="I52" s="63"/>
      <c r="J52" s="63"/>
      <c r="K52" s="63"/>
      <c r="L52" s="63"/>
      <c r="M52" s="64"/>
      <c r="N52" s="50"/>
      <c r="O52" s="245"/>
      <c r="P52" s="245"/>
      <c r="Q52" s="245"/>
      <c r="R52" s="245"/>
      <c r="S52" s="245"/>
      <c r="T52" s="245"/>
      <c r="U52" s="245"/>
      <c r="V52" s="245"/>
      <c r="W52" s="245"/>
      <c r="X52" s="245"/>
      <c r="Y52" s="245"/>
      <c r="Z52" s="245"/>
      <c r="AA52" s="245"/>
      <c r="AB52" s="245"/>
      <c r="AC52" s="245"/>
      <c r="AD52" s="245"/>
      <c r="AE52" s="245"/>
      <c r="AF52" s="245"/>
      <c r="AG52" s="245"/>
      <c r="AH52" s="245"/>
      <c r="AI52" s="245"/>
      <c r="AJ52" s="245"/>
      <c r="AK52" s="245"/>
      <c r="AL52" s="245"/>
      <c r="AM52" s="245"/>
    </row>
    <row r="53" spans="1:39" ht="20.100000000000001" customHeight="1" x14ac:dyDescent="0.25">
      <c r="A53" s="65"/>
      <c r="B53" s="66"/>
      <c r="C53" s="54"/>
      <c r="D53" s="71"/>
      <c r="E53" s="63"/>
      <c r="F53" s="63"/>
      <c r="G53" s="63"/>
      <c r="H53" s="63"/>
      <c r="I53" s="63"/>
      <c r="J53" s="63"/>
      <c r="K53" s="63"/>
      <c r="L53" s="63"/>
      <c r="M53" s="64"/>
      <c r="N53" s="50"/>
      <c r="O53" s="245"/>
      <c r="P53" s="245"/>
      <c r="Q53" s="245"/>
      <c r="R53" s="245"/>
      <c r="S53" s="245"/>
      <c r="T53" s="245"/>
      <c r="U53" s="245"/>
      <c r="V53" s="245"/>
      <c r="W53" s="245"/>
      <c r="X53" s="245"/>
      <c r="Y53" s="245"/>
      <c r="Z53" s="245"/>
      <c r="AA53" s="245"/>
      <c r="AB53" s="245"/>
      <c r="AC53" s="245"/>
      <c r="AD53" s="245"/>
      <c r="AE53" s="245"/>
      <c r="AF53" s="245"/>
      <c r="AG53" s="245"/>
      <c r="AH53" s="245"/>
      <c r="AI53" s="245"/>
      <c r="AJ53" s="245"/>
      <c r="AK53" s="245"/>
      <c r="AL53" s="245"/>
      <c r="AM53" s="245"/>
    </row>
    <row r="54" spans="1:39" ht="20.100000000000001" customHeight="1" x14ac:dyDescent="0.25">
      <c r="A54" s="65"/>
      <c r="B54" s="66"/>
      <c r="C54" s="54"/>
      <c r="D54" s="71"/>
      <c r="E54" s="63"/>
      <c r="F54" s="63"/>
      <c r="G54" s="63"/>
      <c r="H54" s="63"/>
      <c r="I54" s="63"/>
      <c r="J54" s="63"/>
      <c r="K54" s="63"/>
      <c r="L54" s="63"/>
      <c r="M54" s="64"/>
      <c r="N54" s="50"/>
      <c r="O54" s="245"/>
      <c r="P54" s="245"/>
      <c r="Q54" s="245"/>
      <c r="R54" s="245"/>
      <c r="S54" s="245"/>
      <c r="T54" s="245"/>
      <c r="U54" s="245"/>
      <c r="V54" s="245"/>
      <c r="W54" s="245"/>
      <c r="X54" s="245"/>
      <c r="Y54" s="245"/>
      <c r="Z54" s="245"/>
      <c r="AA54" s="245"/>
      <c r="AB54" s="245"/>
      <c r="AC54" s="245"/>
      <c r="AD54" s="245"/>
      <c r="AE54" s="245"/>
      <c r="AF54" s="245"/>
      <c r="AG54" s="245"/>
      <c r="AH54" s="245"/>
      <c r="AI54" s="245"/>
      <c r="AJ54" s="245"/>
      <c r="AK54" s="245"/>
      <c r="AL54" s="245"/>
      <c r="AM54" s="245"/>
    </row>
    <row r="55" spans="1:39" ht="20.100000000000001" customHeight="1" x14ac:dyDescent="0.25">
      <c r="A55" s="65"/>
      <c r="B55" s="66"/>
      <c r="C55" s="54"/>
      <c r="D55" s="71"/>
      <c r="E55" s="63"/>
      <c r="F55" s="63"/>
      <c r="G55" s="63"/>
      <c r="H55" s="63"/>
      <c r="I55" s="63"/>
      <c r="J55" s="63"/>
      <c r="K55" s="63"/>
      <c r="L55" s="63"/>
      <c r="M55" s="64"/>
      <c r="N55" s="50"/>
      <c r="O55" s="245"/>
      <c r="P55" s="245"/>
      <c r="Q55" s="245"/>
      <c r="R55" s="245"/>
      <c r="S55" s="245"/>
      <c r="T55" s="245"/>
      <c r="U55" s="245"/>
      <c r="V55" s="245"/>
      <c r="W55" s="245"/>
      <c r="X55" s="245"/>
      <c r="Y55" s="245"/>
      <c r="Z55" s="245"/>
      <c r="AA55" s="245"/>
      <c r="AB55" s="245"/>
      <c r="AC55" s="245"/>
      <c r="AD55" s="245"/>
      <c r="AE55" s="245"/>
      <c r="AF55" s="245"/>
      <c r="AG55" s="245"/>
      <c r="AH55" s="245"/>
      <c r="AI55" s="245"/>
      <c r="AJ55" s="245"/>
      <c r="AK55" s="245"/>
      <c r="AL55" s="245"/>
      <c r="AM55" s="245"/>
    </row>
    <row r="56" spans="1:39" ht="20.100000000000001" customHeight="1" x14ac:dyDescent="0.25">
      <c r="A56" s="65"/>
      <c r="B56" s="66"/>
      <c r="C56" s="54"/>
      <c r="D56" s="71"/>
      <c r="E56" s="63"/>
      <c r="F56" s="63"/>
      <c r="G56" s="63"/>
      <c r="H56" s="63"/>
      <c r="I56" s="63"/>
      <c r="J56" s="63"/>
      <c r="K56" s="63"/>
      <c r="L56" s="63"/>
      <c r="M56" s="64"/>
      <c r="N56" s="50"/>
      <c r="O56" s="245"/>
      <c r="P56" s="245"/>
      <c r="Q56" s="245"/>
      <c r="R56" s="245"/>
      <c r="S56" s="245"/>
      <c r="T56" s="245"/>
      <c r="U56" s="245"/>
      <c r="V56" s="245"/>
      <c r="W56" s="245"/>
      <c r="X56" s="245"/>
      <c r="Y56" s="245"/>
      <c r="Z56" s="245"/>
      <c r="AA56" s="245"/>
      <c r="AB56" s="245"/>
      <c r="AC56" s="245"/>
      <c r="AD56" s="245"/>
      <c r="AE56" s="245"/>
      <c r="AF56" s="245"/>
      <c r="AG56" s="245"/>
      <c r="AH56" s="245"/>
      <c r="AI56" s="245"/>
      <c r="AJ56" s="245"/>
      <c r="AK56" s="245"/>
      <c r="AL56" s="245"/>
      <c r="AM56" s="245"/>
    </row>
    <row r="57" spans="1:39" ht="20.100000000000001" customHeight="1" x14ac:dyDescent="0.25">
      <c r="A57" s="65"/>
      <c r="B57" s="66"/>
      <c r="C57" s="54"/>
      <c r="D57" s="71"/>
      <c r="E57" s="63"/>
      <c r="F57" s="63"/>
      <c r="G57" s="63"/>
      <c r="H57" s="63"/>
      <c r="I57" s="63"/>
      <c r="J57" s="63"/>
      <c r="K57" s="63"/>
      <c r="L57" s="63"/>
      <c r="M57" s="64"/>
      <c r="N57" s="50"/>
      <c r="O57" s="245"/>
      <c r="P57" s="245"/>
      <c r="Q57" s="245"/>
      <c r="R57" s="245"/>
      <c r="S57" s="245"/>
      <c r="T57" s="245"/>
      <c r="U57" s="245"/>
      <c r="V57" s="245"/>
      <c r="W57" s="245"/>
      <c r="X57" s="245"/>
      <c r="Y57" s="245"/>
      <c r="Z57" s="245"/>
      <c r="AA57" s="245"/>
      <c r="AB57" s="245"/>
      <c r="AC57" s="245"/>
      <c r="AD57" s="245"/>
      <c r="AE57" s="245"/>
      <c r="AF57" s="245"/>
      <c r="AG57" s="245"/>
      <c r="AH57" s="245"/>
      <c r="AI57" s="245"/>
      <c r="AJ57" s="245"/>
      <c r="AK57" s="245"/>
      <c r="AL57" s="245"/>
      <c r="AM57" s="245"/>
    </row>
    <row r="58" spans="1:39" ht="20.100000000000001" customHeight="1" x14ac:dyDescent="0.25">
      <c r="A58" s="65"/>
      <c r="B58" s="66"/>
      <c r="C58" s="54"/>
      <c r="D58" s="71"/>
      <c r="E58" s="63"/>
      <c r="F58" s="63"/>
      <c r="G58" s="63"/>
      <c r="H58" s="63"/>
      <c r="I58" s="63"/>
      <c r="J58" s="63"/>
      <c r="K58" s="63"/>
      <c r="L58" s="63"/>
      <c r="M58" s="64"/>
      <c r="N58" s="50"/>
      <c r="O58" s="245"/>
      <c r="P58" s="245"/>
      <c r="Q58" s="245"/>
      <c r="R58" s="245"/>
      <c r="S58" s="245"/>
      <c r="T58" s="245"/>
      <c r="U58" s="245"/>
      <c r="V58" s="245"/>
      <c r="W58" s="245"/>
      <c r="X58" s="245"/>
      <c r="Y58" s="245"/>
      <c r="Z58" s="245"/>
      <c r="AA58" s="245"/>
      <c r="AB58" s="245"/>
      <c r="AC58" s="245"/>
      <c r="AD58" s="245"/>
      <c r="AE58" s="245"/>
      <c r="AF58" s="245"/>
      <c r="AG58" s="245"/>
      <c r="AH58" s="245"/>
      <c r="AI58" s="245"/>
      <c r="AJ58" s="245"/>
      <c r="AK58" s="245"/>
      <c r="AL58" s="245"/>
      <c r="AM58" s="245"/>
    </row>
    <row r="59" spans="1:39" ht="20.100000000000001" customHeight="1" x14ac:dyDescent="0.25">
      <c r="A59" s="65"/>
      <c r="B59" s="66"/>
      <c r="C59" s="54"/>
      <c r="D59" s="71"/>
      <c r="E59" s="63"/>
      <c r="F59" s="63"/>
      <c r="G59" s="63"/>
      <c r="H59" s="63"/>
      <c r="I59" s="63"/>
      <c r="J59" s="63"/>
      <c r="K59" s="63"/>
      <c r="L59" s="63"/>
      <c r="M59" s="64"/>
      <c r="N59" s="50"/>
      <c r="O59" s="245"/>
      <c r="P59" s="245"/>
      <c r="Q59" s="245"/>
      <c r="R59" s="245"/>
      <c r="S59" s="245"/>
      <c r="T59" s="245"/>
      <c r="U59" s="245"/>
      <c r="V59" s="245"/>
      <c r="W59" s="245"/>
      <c r="X59" s="245"/>
      <c r="Y59" s="245"/>
      <c r="Z59" s="245"/>
      <c r="AA59" s="245"/>
      <c r="AB59" s="245"/>
      <c r="AC59" s="245"/>
      <c r="AD59" s="245"/>
      <c r="AE59" s="245"/>
      <c r="AF59" s="245"/>
      <c r="AG59" s="245"/>
      <c r="AH59" s="245"/>
      <c r="AI59" s="245"/>
      <c r="AJ59" s="245"/>
      <c r="AK59" s="245"/>
      <c r="AL59" s="245"/>
      <c r="AM59" s="245"/>
    </row>
    <row r="60" spans="1:39" ht="20.100000000000001" customHeight="1" x14ac:dyDescent="0.25">
      <c r="A60" s="65"/>
      <c r="B60" s="66"/>
      <c r="C60" s="54"/>
      <c r="D60" s="71"/>
      <c r="E60" s="63"/>
      <c r="F60" s="63"/>
      <c r="G60" s="63"/>
      <c r="H60" s="63"/>
      <c r="I60" s="63"/>
      <c r="J60" s="63"/>
      <c r="K60" s="63"/>
      <c r="L60" s="63"/>
      <c r="M60" s="64"/>
      <c r="N60" s="50"/>
      <c r="O60" s="245"/>
      <c r="P60" s="245"/>
      <c r="Q60" s="245"/>
      <c r="R60" s="245"/>
      <c r="S60" s="245"/>
      <c r="T60" s="245"/>
      <c r="U60" s="245"/>
      <c r="V60" s="245"/>
      <c r="W60" s="245"/>
      <c r="X60" s="245"/>
      <c r="Y60" s="245"/>
      <c r="Z60" s="245"/>
      <c r="AA60" s="245"/>
      <c r="AB60" s="245"/>
      <c r="AC60" s="245"/>
      <c r="AD60" s="245"/>
      <c r="AE60" s="245"/>
      <c r="AF60" s="245"/>
      <c r="AG60" s="245"/>
      <c r="AH60" s="245"/>
      <c r="AI60" s="245"/>
      <c r="AJ60" s="245"/>
      <c r="AK60" s="245"/>
      <c r="AL60" s="245"/>
      <c r="AM60" s="245"/>
    </row>
    <row r="61" spans="1:39" ht="20.100000000000001" customHeight="1" x14ac:dyDescent="0.25">
      <c r="A61" s="65"/>
      <c r="B61" s="66"/>
      <c r="C61" s="54"/>
      <c r="D61" s="71"/>
      <c r="E61" s="63"/>
      <c r="F61" s="63"/>
      <c r="G61" s="63"/>
      <c r="H61" s="63"/>
      <c r="I61" s="63"/>
      <c r="J61" s="63"/>
      <c r="K61" s="63"/>
      <c r="L61" s="63"/>
      <c r="M61" s="64"/>
      <c r="N61" s="50"/>
      <c r="O61" s="245"/>
      <c r="P61" s="245"/>
      <c r="Q61" s="245"/>
      <c r="R61" s="245"/>
      <c r="S61" s="245"/>
      <c r="T61" s="245"/>
      <c r="U61" s="245"/>
      <c r="V61" s="245"/>
      <c r="W61" s="245"/>
      <c r="X61" s="245"/>
      <c r="Y61" s="245"/>
      <c r="Z61" s="245"/>
      <c r="AA61" s="245"/>
      <c r="AB61" s="245"/>
      <c r="AC61" s="245"/>
      <c r="AD61" s="245"/>
      <c r="AE61" s="245"/>
      <c r="AF61" s="245"/>
      <c r="AG61" s="245"/>
      <c r="AH61" s="245"/>
      <c r="AI61" s="245"/>
      <c r="AJ61" s="245"/>
      <c r="AK61" s="245"/>
      <c r="AL61" s="245"/>
      <c r="AM61" s="245"/>
    </row>
    <row r="62" spans="1:39" ht="20.100000000000001" customHeight="1" x14ac:dyDescent="0.25">
      <c r="A62" s="65"/>
      <c r="B62" s="66"/>
      <c r="C62" s="54"/>
      <c r="D62" s="71"/>
      <c r="E62" s="63"/>
      <c r="F62" s="63"/>
      <c r="G62" s="63"/>
      <c r="H62" s="63"/>
      <c r="I62" s="63"/>
      <c r="J62" s="63"/>
      <c r="K62" s="63"/>
      <c r="L62" s="63"/>
      <c r="M62" s="64"/>
      <c r="N62" s="50"/>
      <c r="O62" s="245"/>
      <c r="P62" s="245"/>
      <c r="Q62" s="245"/>
      <c r="R62" s="245"/>
      <c r="S62" s="245"/>
      <c r="T62" s="245"/>
      <c r="U62" s="245"/>
      <c r="V62" s="245"/>
      <c r="W62" s="245"/>
      <c r="X62" s="245"/>
      <c r="Y62" s="245"/>
      <c r="Z62" s="245"/>
      <c r="AA62" s="245"/>
      <c r="AB62" s="245"/>
      <c r="AC62" s="245"/>
      <c r="AD62" s="245"/>
      <c r="AE62" s="245"/>
      <c r="AF62" s="245"/>
      <c r="AG62" s="245"/>
      <c r="AH62" s="245"/>
      <c r="AI62" s="245"/>
      <c r="AJ62" s="245"/>
      <c r="AK62" s="245"/>
      <c r="AL62" s="245"/>
      <c r="AM62" s="245"/>
    </row>
    <row r="63" spans="1:39" ht="20.100000000000001" customHeight="1" x14ac:dyDescent="0.25">
      <c r="A63" s="65"/>
      <c r="B63" s="66"/>
      <c r="C63" s="54"/>
      <c r="D63" s="71"/>
      <c r="E63" s="63"/>
      <c r="F63" s="63"/>
      <c r="G63" s="63"/>
      <c r="H63" s="63"/>
      <c r="I63" s="63"/>
      <c r="J63" s="63"/>
      <c r="K63" s="63"/>
      <c r="L63" s="63"/>
      <c r="M63" s="64"/>
      <c r="N63" s="50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</row>
    <row r="64" spans="1:39" ht="20.100000000000001" customHeight="1" x14ac:dyDescent="0.25">
      <c r="A64" s="65"/>
      <c r="B64" s="66"/>
      <c r="C64" s="54"/>
      <c r="D64" s="71"/>
      <c r="E64" s="63"/>
      <c r="F64" s="63"/>
      <c r="G64" s="63"/>
      <c r="H64" s="63"/>
      <c r="I64" s="63"/>
      <c r="J64" s="63"/>
      <c r="K64" s="63"/>
      <c r="L64" s="63"/>
      <c r="M64" s="64"/>
      <c r="N64" s="50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</row>
    <row r="65" spans="1:39" ht="20.100000000000001" customHeight="1" x14ac:dyDescent="0.25">
      <c r="A65" s="65"/>
      <c r="B65" s="66"/>
      <c r="C65" s="54"/>
      <c r="D65" s="71"/>
      <c r="E65" s="63"/>
      <c r="F65" s="63"/>
      <c r="G65" s="63"/>
      <c r="H65" s="63"/>
      <c r="I65" s="63"/>
      <c r="J65" s="63"/>
      <c r="K65" s="63"/>
      <c r="L65" s="63"/>
      <c r="M65" s="64"/>
      <c r="N65" s="50"/>
      <c r="O65" s="245"/>
      <c r="P65" s="245"/>
      <c r="Q65" s="245"/>
      <c r="R65" s="245"/>
      <c r="S65" s="245"/>
      <c r="T65" s="245"/>
      <c r="U65" s="245"/>
      <c r="V65" s="245"/>
      <c r="W65" s="245"/>
      <c r="X65" s="245"/>
      <c r="Y65" s="245"/>
      <c r="Z65" s="245"/>
      <c r="AA65" s="245"/>
      <c r="AB65" s="245"/>
      <c r="AC65" s="245"/>
      <c r="AD65" s="245"/>
      <c r="AE65" s="245"/>
      <c r="AF65" s="245"/>
      <c r="AG65" s="245"/>
      <c r="AH65" s="245"/>
      <c r="AI65" s="245"/>
      <c r="AJ65" s="245"/>
      <c r="AK65" s="245"/>
      <c r="AL65" s="245"/>
      <c r="AM65" s="245"/>
    </row>
    <row r="66" spans="1:39" ht="20.100000000000001" customHeight="1" x14ac:dyDescent="0.25">
      <c r="A66" s="65"/>
      <c r="B66" s="66"/>
      <c r="C66" s="54"/>
      <c r="D66" s="71"/>
      <c r="E66" s="63"/>
      <c r="F66" s="63"/>
      <c r="G66" s="63"/>
      <c r="H66" s="63"/>
      <c r="I66" s="63"/>
      <c r="J66" s="63"/>
      <c r="K66" s="63"/>
      <c r="L66" s="63"/>
      <c r="M66" s="64"/>
      <c r="N66" s="50"/>
      <c r="O66" s="245"/>
      <c r="P66" s="245"/>
      <c r="Q66" s="245"/>
      <c r="R66" s="245"/>
      <c r="S66" s="245"/>
      <c r="T66" s="245"/>
      <c r="U66" s="245"/>
      <c r="V66" s="245"/>
      <c r="W66" s="245"/>
      <c r="X66" s="245"/>
      <c r="Y66" s="245"/>
      <c r="Z66" s="245"/>
      <c r="AA66" s="245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</row>
    <row r="67" spans="1:39" ht="20.100000000000001" customHeight="1" x14ac:dyDescent="0.25">
      <c r="A67" s="65"/>
      <c r="B67" s="66"/>
      <c r="C67" s="54"/>
      <c r="D67" s="71"/>
      <c r="E67" s="63"/>
      <c r="F67" s="63"/>
      <c r="G67" s="63"/>
      <c r="H67" s="63"/>
      <c r="I67" s="63"/>
      <c r="J67" s="63"/>
      <c r="K67" s="63"/>
      <c r="L67" s="63"/>
      <c r="M67" s="64"/>
      <c r="N67" s="50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  <c r="Z67" s="245"/>
      <c r="AA67" s="245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</row>
    <row r="68" spans="1:39" ht="20.100000000000001" customHeight="1" x14ac:dyDescent="0.25">
      <c r="A68" s="65"/>
      <c r="B68" s="66"/>
      <c r="C68" s="54"/>
      <c r="D68" s="71"/>
      <c r="E68" s="63"/>
      <c r="F68" s="63"/>
      <c r="G68" s="63"/>
      <c r="H68" s="63"/>
      <c r="I68" s="63"/>
      <c r="J68" s="63"/>
      <c r="K68" s="63"/>
      <c r="L68" s="63"/>
      <c r="M68" s="64"/>
      <c r="N68" s="50"/>
      <c r="O68" s="245"/>
      <c r="P68" s="245"/>
      <c r="Q68" s="245"/>
      <c r="R68" s="245"/>
      <c r="S68" s="245"/>
      <c r="T68" s="245"/>
      <c r="U68" s="245"/>
      <c r="V68" s="245"/>
      <c r="W68" s="245"/>
      <c r="X68" s="245"/>
      <c r="Y68" s="245"/>
      <c r="Z68" s="245"/>
      <c r="AA68" s="245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</row>
    <row r="69" spans="1:39" ht="20.100000000000001" customHeight="1" x14ac:dyDescent="0.25">
      <c r="A69" s="65"/>
      <c r="B69" s="66"/>
      <c r="C69" s="54"/>
      <c r="D69" s="71"/>
      <c r="E69" s="63"/>
      <c r="F69" s="63"/>
      <c r="G69" s="63"/>
      <c r="H69" s="63"/>
      <c r="I69" s="63"/>
      <c r="J69" s="63"/>
      <c r="K69" s="63"/>
      <c r="L69" s="63"/>
      <c r="M69" s="64"/>
      <c r="N69" s="50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</row>
    <row r="70" spans="1:39" ht="20.100000000000001" customHeight="1" x14ac:dyDescent="0.25">
      <c r="A70" s="65"/>
      <c r="B70" s="66"/>
      <c r="C70" s="54"/>
      <c r="D70" s="71"/>
      <c r="E70" s="63"/>
      <c r="F70" s="63"/>
      <c r="G70" s="63"/>
      <c r="H70" s="63"/>
      <c r="I70" s="63"/>
      <c r="J70" s="63"/>
      <c r="K70" s="63"/>
      <c r="L70" s="63"/>
      <c r="M70" s="64"/>
      <c r="N70" s="50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</row>
    <row r="71" spans="1:39" ht="20.100000000000001" customHeight="1" x14ac:dyDescent="0.25">
      <c r="A71" s="65"/>
      <c r="B71" s="66"/>
      <c r="C71" s="54"/>
      <c r="D71" s="71"/>
      <c r="E71" s="63"/>
      <c r="F71" s="63"/>
      <c r="G71" s="63"/>
      <c r="H71" s="63"/>
      <c r="I71" s="63"/>
      <c r="J71" s="63"/>
      <c r="K71" s="63"/>
      <c r="L71" s="63"/>
      <c r="M71" s="64"/>
      <c r="N71" s="50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</row>
    <row r="72" spans="1:39" ht="20.100000000000001" customHeight="1" x14ac:dyDescent="0.25">
      <c r="A72" s="65"/>
      <c r="B72" s="66"/>
      <c r="C72" s="54"/>
      <c r="D72" s="71"/>
      <c r="E72" s="63"/>
      <c r="F72" s="63"/>
      <c r="G72" s="63"/>
      <c r="H72" s="63"/>
      <c r="I72" s="63"/>
      <c r="J72" s="63"/>
      <c r="K72" s="63"/>
      <c r="L72" s="63"/>
      <c r="M72" s="64"/>
      <c r="N72" s="50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</row>
    <row r="73" spans="1:39" ht="20.100000000000001" customHeight="1" x14ac:dyDescent="0.25">
      <c r="A73" s="65"/>
      <c r="B73" s="133"/>
      <c r="C73" s="54"/>
      <c r="D73" s="71"/>
      <c r="E73" s="63"/>
      <c r="F73" s="63"/>
      <c r="G73" s="63"/>
      <c r="H73" s="63"/>
      <c r="I73" s="63"/>
      <c r="J73" s="63"/>
      <c r="K73" s="63"/>
      <c r="L73" s="63"/>
      <c r="M73" s="64"/>
      <c r="N73" s="50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</row>
    <row r="74" spans="1:39" ht="20.100000000000001" customHeight="1" x14ac:dyDescent="0.25">
      <c r="A74" s="65"/>
      <c r="B74" s="133"/>
      <c r="C74" s="54"/>
      <c r="D74" s="71"/>
      <c r="E74" s="63"/>
      <c r="F74" s="63"/>
      <c r="G74" s="63"/>
      <c r="H74" s="63"/>
      <c r="I74" s="63"/>
      <c r="J74" s="63"/>
      <c r="K74" s="63"/>
      <c r="L74" s="63"/>
      <c r="M74" s="64"/>
      <c r="N74" s="50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</row>
    <row r="75" spans="1:39" ht="20.100000000000001" customHeight="1" x14ac:dyDescent="0.25">
      <c r="A75" s="65"/>
      <c r="B75" s="133"/>
      <c r="C75" s="54"/>
      <c r="D75" s="71"/>
      <c r="E75" s="63"/>
      <c r="F75" s="63"/>
      <c r="G75" s="63"/>
      <c r="H75" s="63"/>
      <c r="I75" s="63"/>
      <c r="J75" s="63"/>
      <c r="K75" s="63"/>
      <c r="L75" s="63"/>
      <c r="M75" s="64"/>
      <c r="N75" s="50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</row>
    <row r="76" spans="1:39" ht="20.100000000000001" customHeight="1" x14ac:dyDescent="0.25">
      <c r="A76" s="65"/>
      <c r="B76" s="133"/>
      <c r="C76" s="54"/>
      <c r="D76" s="71"/>
      <c r="E76" s="63"/>
      <c r="F76" s="63"/>
      <c r="G76" s="63"/>
      <c r="H76" s="63"/>
      <c r="I76" s="63"/>
      <c r="J76" s="63"/>
      <c r="K76" s="63"/>
      <c r="L76" s="63"/>
      <c r="M76" s="64"/>
      <c r="N76" s="50"/>
      <c r="O76" s="245"/>
      <c r="P76" s="245"/>
      <c r="Q76" s="245"/>
      <c r="R76" s="245"/>
      <c r="S76" s="245"/>
      <c r="T76" s="245"/>
      <c r="U76" s="245"/>
      <c r="V76" s="245"/>
      <c r="W76" s="245"/>
      <c r="X76" s="245"/>
      <c r="Y76" s="245"/>
      <c r="Z76" s="245"/>
      <c r="AA76" s="245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</row>
    <row r="77" spans="1:39" ht="20.100000000000001" customHeight="1" x14ac:dyDescent="0.25">
      <c r="A77" s="65"/>
      <c r="B77" s="133"/>
      <c r="C77" s="54"/>
      <c r="D77" s="71"/>
      <c r="E77" s="63"/>
      <c r="F77" s="63"/>
      <c r="G77" s="63"/>
      <c r="H77" s="63"/>
      <c r="I77" s="63"/>
      <c r="J77" s="63"/>
      <c r="K77" s="63"/>
      <c r="L77" s="63"/>
      <c r="M77" s="64"/>
      <c r="N77" s="50"/>
      <c r="O77" s="245"/>
      <c r="P77" s="245"/>
      <c r="Q77" s="245"/>
      <c r="R77" s="245"/>
      <c r="S77" s="245"/>
      <c r="T77" s="245"/>
      <c r="U77" s="245"/>
      <c r="V77" s="245"/>
      <c r="W77" s="245"/>
      <c r="X77" s="245"/>
      <c r="Y77" s="245"/>
      <c r="Z77" s="245"/>
      <c r="AA77" s="245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</row>
    <row r="78" spans="1:39" ht="20.100000000000001" customHeight="1" x14ac:dyDescent="0.25">
      <c r="A78" s="65"/>
      <c r="B78" s="133"/>
      <c r="C78" s="54"/>
      <c r="D78" s="71"/>
      <c r="E78" s="63"/>
      <c r="F78" s="63"/>
      <c r="G78" s="63"/>
      <c r="H78" s="63"/>
      <c r="I78" s="63"/>
      <c r="J78" s="63"/>
      <c r="K78" s="63"/>
      <c r="L78" s="63"/>
      <c r="M78" s="64"/>
      <c r="N78" s="50"/>
      <c r="O78" s="245"/>
      <c r="P78" s="245"/>
      <c r="Q78" s="245"/>
      <c r="R78" s="245"/>
      <c r="S78" s="245"/>
      <c r="T78" s="245"/>
      <c r="U78" s="245"/>
      <c r="V78" s="245"/>
      <c r="W78" s="245"/>
      <c r="X78" s="245"/>
      <c r="Y78" s="245"/>
      <c r="Z78" s="245"/>
      <c r="AA78" s="245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</row>
    <row r="79" spans="1:39" ht="20.100000000000001" customHeight="1" x14ac:dyDescent="0.25">
      <c r="A79" s="65"/>
      <c r="B79" s="133"/>
      <c r="C79" s="54"/>
      <c r="D79" s="71"/>
      <c r="E79" s="63"/>
      <c r="F79" s="63"/>
      <c r="G79" s="63"/>
      <c r="H79" s="63"/>
      <c r="I79" s="63"/>
      <c r="J79" s="63"/>
      <c r="K79" s="63"/>
      <c r="L79" s="63"/>
      <c r="M79" s="64"/>
      <c r="N79" s="50"/>
      <c r="O79" s="245"/>
      <c r="P79" s="245"/>
      <c r="Q79" s="245"/>
      <c r="R79" s="245"/>
      <c r="S79" s="245"/>
      <c r="T79" s="245"/>
      <c r="U79" s="245"/>
      <c r="V79" s="245"/>
      <c r="W79" s="245"/>
      <c r="X79" s="245"/>
      <c r="Y79" s="245"/>
      <c r="Z79" s="245"/>
      <c r="AA79" s="245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</row>
    <row r="80" spans="1:39" ht="20.100000000000001" customHeight="1" x14ac:dyDescent="0.25">
      <c r="A80" s="65"/>
      <c r="B80" s="133"/>
      <c r="C80" s="54"/>
      <c r="D80" s="71"/>
      <c r="E80" s="63"/>
      <c r="F80" s="63"/>
      <c r="G80" s="63"/>
      <c r="H80" s="63"/>
      <c r="I80" s="63"/>
      <c r="J80" s="63"/>
      <c r="K80" s="63"/>
      <c r="L80" s="63"/>
      <c r="M80" s="64"/>
      <c r="N80" s="50"/>
      <c r="O80" s="245"/>
      <c r="P80" s="245"/>
      <c r="Q80" s="245"/>
      <c r="R80" s="245"/>
      <c r="S80" s="245"/>
      <c r="T80" s="245"/>
      <c r="U80" s="245"/>
      <c r="V80" s="245"/>
      <c r="W80" s="245"/>
      <c r="X80" s="245"/>
      <c r="Y80" s="245"/>
      <c r="Z80" s="245"/>
      <c r="AA80" s="245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</row>
    <row r="81" spans="1:39" ht="20.100000000000001" customHeight="1" x14ac:dyDescent="0.25">
      <c r="A81" s="65"/>
      <c r="B81" s="133"/>
      <c r="C81" s="54"/>
      <c r="D81" s="71"/>
      <c r="E81" s="63"/>
      <c r="F81" s="63"/>
      <c r="G81" s="63"/>
      <c r="H81" s="63"/>
      <c r="I81" s="63"/>
      <c r="J81" s="63"/>
      <c r="K81" s="63"/>
      <c r="L81" s="63"/>
      <c r="M81" s="64"/>
      <c r="N81" s="50"/>
      <c r="O81" s="245"/>
      <c r="P81" s="245"/>
      <c r="Q81" s="245"/>
      <c r="R81" s="245"/>
      <c r="S81" s="245"/>
      <c r="T81" s="245"/>
      <c r="U81" s="245"/>
      <c r="V81" s="245"/>
      <c r="W81" s="245"/>
      <c r="X81" s="245"/>
      <c r="Y81" s="245"/>
      <c r="Z81" s="245"/>
      <c r="AA81" s="245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</row>
    <row r="82" spans="1:39" ht="20.100000000000001" customHeight="1" x14ac:dyDescent="0.25">
      <c r="A82" s="65"/>
      <c r="B82" s="133"/>
      <c r="C82" s="54"/>
      <c r="D82" s="71"/>
      <c r="E82" s="63"/>
      <c r="F82" s="63"/>
      <c r="G82" s="63"/>
      <c r="H82" s="63"/>
      <c r="I82" s="63"/>
      <c r="J82" s="63"/>
      <c r="K82" s="63"/>
      <c r="L82" s="63"/>
      <c r="M82" s="64"/>
      <c r="N82" s="50"/>
      <c r="O82" s="245"/>
      <c r="P82" s="245"/>
      <c r="Q82" s="245"/>
      <c r="R82" s="245"/>
      <c r="S82" s="245"/>
      <c r="T82" s="245"/>
      <c r="U82" s="245"/>
      <c r="V82" s="245"/>
      <c r="W82" s="245"/>
      <c r="X82" s="245"/>
      <c r="Y82" s="245"/>
      <c r="Z82" s="245"/>
      <c r="AA82" s="245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</row>
    <row r="83" spans="1:39" ht="20.100000000000001" customHeight="1" x14ac:dyDescent="0.25">
      <c r="A83" s="65"/>
      <c r="B83" s="66"/>
      <c r="C83" s="54"/>
      <c r="D83" s="71"/>
      <c r="E83" s="63"/>
      <c r="F83" s="63"/>
      <c r="G83" s="63"/>
      <c r="H83" s="63"/>
      <c r="I83" s="63"/>
      <c r="J83" s="63"/>
      <c r="K83" s="63"/>
      <c r="L83" s="63"/>
      <c r="M83" s="64"/>
      <c r="N83" s="50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</row>
    <row r="84" spans="1:39" ht="20.100000000000001" customHeight="1" x14ac:dyDescent="0.25">
      <c r="A84" s="65"/>
      <c r="B84" s="66"/>
      <c r="C84" s="54"/>
      <c r="D84" s="71"/>
      <c r="E84" s="63"/>
      <c r="F84" s="63"/>
      <c r="G84" s="63"/>
      <c r="H84" s="63"/>
      <c r="I84" s="63"/>
      <c r="J84" s="63"/>
      <c r="K84" s="63"/>
      <c r="L84" s="63"/>
      <c r="M84" s="64"/>
      <c r="N84" s="50"/>
      <c r="O84" s="245"/>
      <c r="P84" s="245"/>
      <c r="Q84" s="245"/>
      <c r="R84" s="245"/>
      <c r="S84" s="245"/>
      <c r="T84" s="245"/>
      <c r="U84" s="245"/>
      <c r="V84" s="245"/>
      <c r="W84" s="245"/>
      <c r="X84" s="245"/>
      <c r="Y84" s="245"/>
      <c r="Z84" s="245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</row>
    <row r="85" spans="1:39" ht="20.100000000000001" customHeight="1" x14ac:dyDescent="0.25">
      <c r="A85" s="65"/>
      <c r="B85" s="66"/>
      <c r="C85" s="54"/>
      <c r="D85" s="71"/>
      <c r="E85" s="63"/>
      <c r="F85" s="63"/>
      <c r="G85" s="63"/>
      <c r="H85" s="63"/>
      <c r="I85" s="63"/>
      <c r="J85" s="63"/>
      <c r="K85" s="63"/>
      <c r="L85" s="63"/>
      <c r="M85" s="64"/>
      <c r="N85" s="50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</row>
    <row r="86" spans="1:39" ht="20.100000000000001" customHeight="1" x14ac:dyDescent="0.25">
      <c r="A86" s="65"/>
      <c r="B86" s="66"/>
      <c r="C86" s="54"/>
      <c r="D86" s="71"/>
      <c r="E86" s="63"/>
      <c r="F86" s="63"/>
      <c r="G86" s="63"/>
      <c r="H86" s="63"/>
      <c r="I86" s="63"/>
      <c r="J86" s="63"/>
      <c r="K86" s="63"/>
      <c r="L86" s="63"/>
      <c r="M86" s="64"/>
      <c r="N86" s="50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</row>
    <row r="87" spans="1:39" ht="20.100000000000001" customHeight="1" x14ac:dyDescent="0.25">
      <c r="A87" s="65"/>
      <c r="B87" s="66"/>
      <c r="C87" s="54"/>
      <c r="D87" s="71"/>
      <c r="E87" s="63"/>
      <c r="F87" s="63"/>
      <c r="G87" s="63"/>
      <c r="H87" s="63"/>
      <c r="I87" s="63"/>
      <c r="J87" s="63"/>
      <c r="K87" s="63"/>
      <c r="L87" s="63"/>
      <c r="M87" s="64"/>
      <c r="N87" s="50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</row>
    <row r="88" spans="1:39" ht="20.100000000000001" customHeight="1" x14ac:dyDescent="0.25">
      <c r="A88" s="65"/>
      <c r="B88" s="66"/>
      <c r="C88" s="54"/>
      <c r="D88" s="71"/>
      <c r="E88" s="63"/>
      <c r="F88" s="63"/>
      <c r="G88" s="63"/>
      <c r="H88" s="63"/>
      <c r="I88" s="63"/>
      <c r="J88" s="63"/>
      <c r="K88" s="63"/>
      <c r="L88" s="63"/>
      <c r="M88" s="64"/>
      <c r="N88" s="50"/>
      <c r="O88" s="245"/>
      <c r="P88" s="245"/>
      <c r="Q88" s="245"/>
      <c r="R88" s="245"/>
      <c r="S88" s="245"/>
      <c r="T88" s="245"/>
      <c r="U88" s="245"/>
      <c r="V88" s="245"/>
      <c r="W88" s="245"/>
      <c r="X88" s="245"/>
      <c r="Y88" s="245"/>
      <c r="Z88" s="245"/>
      <c r="AA88" s="245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</row>
    <row r="89" spans="1:39" ht="20.100000000000001" customHeight="1" x14ac:dyDescent="0.25">
      <c r="A89" s="65"/>
      <c r="B89" s="66"/>
      <c r="C89" s="54"/>
      <c r="D89" s="71"/>
      <c r="E89" s="63"/>
      <c r="F89" s="63"/>
      <c r="G89" s="63"/>
      <c r="H89" s="63"/>
      <c r="I89" s="63"/>
      <c r="J89" s="63"/>
      <c r="K89" s="63"/>
      <c r="L89" s="63"/>
      <c r="M89" s="64"/>
      <c r="N89" s="50"/>
      <c r="O89" s="245"/>
      <c r="P89" s="245"/>
      <c r="Q89" s="245"/>
      <c r="R89" s="245"/>
      <c r="S89" s="245"/>
      <c r="T89" s="245"/>
      <c r="U89" s="245"/>
      <c r="V89" s="245"/>
      <c r="W89" s="245"/>
      <c r="X89" s="245"/>
      <c r="Y89" s="245"/>
      <c r="Z89" s="245"/>
      <c r="AA89" s="245"/>
      <c r="AB89" s="245"/>
      <c r="AC89" s="245"/>
      <c r="AD89" s="245"/>
      <c r="AE89" s="245"/>
      <c r="AF89" s="245"/>
      <c r="AG89" s="245"/>
      <c r="AH89" s="245"/>
      <c r="AI89" s="245"/>
      <c r="AJ89" s="245"/>
      <c r="AK89" s="245"/>
      <c r="AL89" s="245"/>
      <c r="AM89" s="245"/>
    </row>
    <row r="90" spans="1:39" ht="20.100000000000001" customHeight="1" x14ac:dyDescent="0.25">
      <c r="A90" s="65"/>
      <c r="B90" s="66"/>
      <c r="C90" s="54"/>
      <c r="D90" s="71"/>
      <c r="E90" s="63"/>
      <c r="F90" s="63"/>
      <c r="G90" s="63"/>
      <c r="H90" s="63"/>
      <c r="I90" s="63"/>
      <c r="J90" s="63"/>
      <c r="K90" s="63"/>
      <c r="L90" s="63"/>
      <c r="M90" s="64"/>
      <c r="N90" s="50"/>
      <c r="O90" s="245"/>
      <c r="P90" s="245"/>
      <c r="Q90" s="245"/>
      <c r="R90" s="245"/>
      <c r="S90" s="245"/>
      <c r="T90" s="245"/>
      <c r="U90" s="245"/>
      <c r="V90" s="245"/>
      <c r="W90" s="245"/>
      <c r="X90" s="245"/>
      <c r="Y90" s="245"/>
      <c r="Z90" s="245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</row>
    <row r="91" spans="1:39" ht="20.100000000000001" customHeight="1" x14ac:dyDescent="0.25">
      <c r="A91" s="65"/>
      <c r="B91" s="66"/>
      <c r="C91" s="54"/>
      <c r="D91" s="71"/>
      <c r="E91" s="63"/>
      <c r="F91" s="63"/>
      <c r="G91" s="63"/>
      <c r="H91" s="63"/>
      <c r="I91" s="63"/>
      <c r="J91" s="63"/>
      <c r="K91" s="63"/>
      <c r="L91" s="63"/>
      <c r="M91" s="64"/>
      <c r="N91" s="50"/>
      <c r="O91" s="245"/>
      <c r="P91" s="245"/>
      <c r="Q91" s="245"/>
      <c r="R91" s="245"/>
      <c r="S91" s="245"/>
      <c r="T91" s="245"/>
      <c r="U91" s="245"/>
      <c r="V91" s="245"/>
      <c r="W91" s="245"/>
      <c r="X91" s="245"/>
      <c r="Y91" s="245"/>
      <c r="Z91" s="245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</row>
    <row r="92" spans="1:39" ht="20.100000000000001" customHeight="1" x14ac:dyDescent="0.25">
      <c r="A92" s="65"/>
      <c r="B92" s="66"/>
      <c r="C92" s="54"/>
      <c r="D92" s="71"/>
      <c r="E92" s="63"/>
      <c r="F92" s="63"/>
      <c r="G92" s="63"/>
      <c r="H92" s="63"/>
      <c r="I92" s="63"/>
      <c r="J92" s="63"/>
      <c r="K92" s="63"/>
      <c r="L92" s="63"/>
      <c r="M92" s="64"/>
      <c r="N92" s="50"/>
      <c r="O92" s="245"/>
      <c r="P92" s="245"/>
      <c r="Q92" s="245"/>
      <c r="R92" s="245"/>
      <c r="S92" s="245"/>
      <c r="T92" s="245"/>
      <c r="U92" s="245"/>
      <c r="V92" s="245"/>
      <c r="W92" s="245"/>
      <c r="X92" s="245"/>
      <c r="Y92" s="245"/>
      <c r="Z92" s="245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  <c r="AL92" s="245"/>
      <c r="AM92" s="245"/>
    </row>
    <row r="93" spans="1:39" ht="20.100000000000001" customHeight="1" x14ac:dyDescent="0.25">
      <c r="A93" s="65"/>
      <c r="B93" s="66"/>
      <c r="C93" s="54"/>
      <c r="D93" s="71"/>
      <c r="E93" s="63"/>
      <c r="F93" s="63"/>
      <c r="G93" s="63"/>
      <c r="H93" s="63"/>
      <c r="I93" s="63"/>
      <c r="J93" s="63"/>
      <c r="K93" s="63"/>
      <c r="L93" s="63"/>
      <c r="M93" s="64"/>
      <c r="N93" s="50"/>
      <c r="O93" s="245"/>
      <c r="P93" s="245"/>
      <c r="Q93" s="245"/>
      <c r="R93" s="245"/>
      <c r="S93" s="245"/>
      <c r="T93" s="245"/>
      <c r="U93" s="245"/>
      <c r="V93" s="245"/>
      <c r="W93" s="245"/>
      <c r="X93" s="245"/>
      <c r="Y93" s="245"/>
      <c r="Z93" s="245"/>
      <c r="AA93" s="245"/>
      <c r="AB93" s="245"/>
      <c r="AC93" s="245"/>
      <c r="AD93" s="245"/>
      <c r="AE93" s="245"/>
      <c r="AF93" s="245"/>
      <c r="AG93" s="245"/>
      <c r="AH93" s="245"/>
      <c r="AI93" s="245"/>
      <c r="AJ93" s="245"/>
      <c r="AK93" s="245"/>
      <c r="AL93" s="245"/>
      <c r="AM93" s="245"/>
    </row>
    <row r="94" spans="1:39" ht="20.100000000000001" customHeight="1" x14ac:dyDescent="0.25">
      <c r="A94" s="65"/>
      <c r="B94" s="66"/>
      <c r="C94" s="54"/>
      <c r="D94" s="71"/>
      <c r="E94" s="63"/>
      <c r="F94" s="63"/>
      <c r="G94" s="63"/>
      <c r="H94" s="63"/>
      <c r="I94" s="63"/>
      <c r="J94" s="63"/>
      <c r="K94" s="63"/>
      <c r="L94" s="63"/>
      <c r="M94" s="64"/>
      <c r="N94" s="50"/>
      <c r="O94" s="245"/>
      <c r="P94" s="245"/>
      <c r="Q94" s="245"/>
      <c r="R94" s="245"/>
      <c r="S94" s="245"/>
      <c r="T94" s="245"/>
      <c r="U94" s="245"/>
      <c r="V94" s="245"/>
      <c r="W94" s="245"/>
      <c r="X94" s="245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5"/>
      <c r="AL94" s="245"/>
      <c r="AM94" s="245"/>
    </row>
    <row r="95" spans="1:39" ht="20.100000000000001" customHeight="1" x14ac:dyDescent="0.25">
      <c r="A95" s="65"/>
      <c r="B95" s="66"/>
      <c r="C95" s="54"/>
      <c r="D95" s="71"/>
      <c r="E95" s="63"/>
      <c r="F95" s="63"/>
      <c r="G95" s="63"/>
      <c r="H95" s="63"/>
      <c r="I95" s="63"/>
      <c r="J95" s="63"/>
      <c r="K95" s="63"/>
      <c r="L95" s="63"/>
      <c r="M95" s="64"/>
      <c r="N95" s="50"/>
      <c r="O95" s="245"/>
      <c r="P95" s="245"/>
      <c r="Q95" s="245"/>
      <c r="R95" s="245"/>
      <c r="S95" s="245"/>
      <c r="T95" s="245"/>
      <c r="U95" s="245"/>
      <c r="V95" s="245"/>
      <c r="W95" s="245"/>
      <c r="X95" s="245"/>
      <c r="Y95" s="245"/>
      <c r="Z95" s="245"/>
      <c r="AA95" s="245"/>
      <c r="AB95" s="245"/>
      <c r="AC95" s="245"/>
      <c r="AD95" s="245"/>
      <c r="AE95" s="245"/>
      <c r="AF95" s="245"/>
      <c r="AG95" s="245"/>
      <c r="AH95" s="245"/>
      <c r="AI95" s="245"/>
      <c r="AJ95" s="245"/>
      <c r="AK95" s="245"/>
      <c r="AL95" s="245"/>
      <c r="AM95" s="245"/>
    </row>
    <row r="96" spans="1:39" ht="20.100000000000001" customHeight="1" x14ac:dyDescent="0.25">
      <c r="A96" s="65"/>
      <c r="B96" s="66"/>
      <c r="C96" s="54"/>
      <c r="D96" s="71"/>
      <c r="E96" s="63"/>
      <c r="F96" s="63"/>
      <c r="G96" s="63"/>
      <c r="H96" s="63"/>
      <c r="I96" s="63"/>
      <c r="J96" s="63"/>
      <c r="K96" s="63"/>
      <c r="L96" s="63"/>
      <c r="M96" s="64"/>
      <c r="N96" s="50"/>
      <c r="O96" s="245"/>
      <c r="P96" s="245"/>
      <c r="Q96" s="245"/>
      <c r="R96" s="245"/>
      <c r="S96" s="24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</row>
    <row r="97" spans="1:39" ht="20.100000000000001" customHeight="1" x14ac:dyDescent="0.25">
      <c r="A97" s="65"/>
      <c r="B97" s="66"/>
      <c r="C97" s="54"/>
      <c r="D97" s="71"/>
      <c r="E97" s="63"/>
      <c r="F97" s="63"/>
      <c r="G97" s="63"/>
      <c r="H97" s="63"/>
      <c r="I97" s="63"/>
      <c r="J97" s="63"/>
      <c r="K97" s="63"/>
      <c r="L97" s="63"/>
      <c r="M97" s="64"/>
      <c r="N97" s="50"/>
      <c r="O97" s="245"/>
      <c r="P97" s="245"/>
      <c r="Q97" s="245"/>
      <c r="R97" s="245"/>
      <c r="S97" s="245"/>
      <c r="T97" s="245"/>
      <c r="U97" s="245"/>
      <c r="V97" s="245"/>
      <c r="W97" s="245"/>
      <c r="X97" s="245"/>
      <c r="Y97" s="245"/>
      <c r="Z97" s="245"/>
      <c r="AA97" s="245"/>
      <c r="AB97" s="245"/>
      <c r="AC97" s="245"/>
      <c r="AD97" s="245"/>
      <c r="AE97" s="245"/>
      <c r="AF97" s="245"/>
      <c r="AG97" s="245"/>
      <c r="AH97" s="245"/>
      <c r="AI97" s="245"/>
      <c r="AJ97" s="245"/>
      <c r="AK97" s="245"/>
      <c r="AL97" s="245"/>
      <c r="AM97" s="245"/>
    </row>
    <row r="98" spans="1:39" ht="20.100000000000001" customHeight="1" x14ac:dyDescent="0.25">
      <c r="A98" s="65"/>
      <c r="B98" s="66"/>
      <c r="C98" s="54"/>
      <c r="D98" s="71"/>
      <c r="E98" s="63"/>
      <c r="F98" s="63"/>
      <c r="G98" s="63"/>
      <c r="H98" s="63"/>
      <c r="I98" s="63"/>
      <c r="J98" s="63"/>
      <c r="K98" s="63"/>
      <c r="L98" s="63"/>
      <c r="M98" s="64"/>
      <c r="N98" s="50"/>
      <c r="O98" s="245"/>
      <c r="P98" s="245"/>
      <c r="Q98" s="245"/>
      <c r="R98" s="245"/>
      <c r="S98" s="245"/>
      <c r="T98" s="245"/>
      <c r="U98" s="245"/>
      <c r="V98" s="245"/>
      <c r="W98" s="245"/>
      <c r="X98" s="245"/>
      <c r="Y98" s="245"/>
      <c r="Z98" s="245"/>
      <c r="AA98" s="245"/>
      <c r="AB98" s="245"/>
      <c r="AC98" s="245"/>
      <c r="AD98" s="245"/>
      <c r="AE98" s="245"/>
      <c r="AF98" s="245"/>
      <c r="AG98" s="245"/>
      <c r="AH98" s="245"/>
      <c r="AI98" s="245"/>
      <c r="AJ98" s="245"/>
      <c r="AK98" s="245"/>
      <c r="AL98" s="245"/>
      <c r="AM98" s="245"/>
    </row>
    <row r="99" spans="1:39" ht="20.100000000000001" customHeight="1" x14ac:dyDescent="0.25">
      <c r="A99" s="65"/>
      <c r="B99" s="66"/>
      <c r="C99" s="54"/>
      <c r="D99" s="71"/>
      <c r="E99" s="63"/>
      <c r="F99" s="63"/>
      <c r="G99" s="63"/>
      <c r="H99" s="63"/>
      <c r="I99" s="63"/>
      <c r="J99" s="63"/>
      <c r="K99" s="63"/>
      <c r="L99" s="63"/>
      <c r="M99" s="64"/>
      <c r="N99" s="50"/>
      <c r="O99" s="245"/>
      <c r="P99" s="245"/>
      <c r="Q99" s="245"/>
      <c r="R99" s="245"/>
      <c r="S99" s="245"/>
      <c r="T99" s="245"/>
      <c r="U99" s="245"/>
      <c r="V99" s="245"/>
      <c r="W99" s="245"/>
      <c r="X99" s="245"/>
      <c r="Y99" s="245"/>
      <c r="Z99" s="245"/>
      <c r="AA99" s="245"/>
      <c r="AB99" s="245"/>
      <c r="AC99" s="245"/>
      <c r="AD99" s="245"/>
      <c r="AE99" s="245"/>
      <c r="AF99" s="245"/>
      <c r="AG99" s="245"/>
      <c r="AH99" s="245"/>
      <c r="AI99" s="245"/>
      <c r="AJ99" s="245"/>
      <c r="AK99" s="245"/>
      <c r="AL99" s="245"/>
      <c r="AM99" s="245"/>
    </row>
    <row r="100" spans="1:39" ht="20.100000000000001" customHeight="1" x14ac:dyDescent="0.25">
      <c r="A100" s="65"/>
      <c r="B100" s="66"/>
      <c r="C100" s="54"/>
      <c r="D100" s="71"/>
      <c r="E100" s="63"/>
      <c r="F100" s="63"/>
      <c r="G100" s="63"/>
      <c r="H100" s="63"/>
      <c r="I100" s="63"/>
      <c r="J100" s="63"/>
      <c r="K100" s="63"/>
      <c r="L100" s="63"/>
      <c r="M100" s="64"/>
      <c r="N100" s="50"/>
      <c r="O100" s="245"/>
      <c r="P100" s="245"/>
      <c r="Q100" s="245"/>
      <c r="R100" s="245"/>
      <c r="S100" s="245"/>
      <c r="T100" s="245"/>
      <c r="U100" s="245"/>
      <c r="V100" s="245"/>
      <c r="W100" s="245"/>
      <c r="X100" s="245"/>
      <c r="Y100" s="245"/>
      <c r="Z100" s="245"/>
      <c r="AA100" s="245"/>
      <c r="AB100" s="245"/>
      <c r="AC100" s="245"/>
      <c r="AD100" s="245"/>
      <c r="AE100" s="245"/>
      <c r="AF100" s="245"/>
      <c r="AG100" s="245"/>
      <c r="AH100" s="245"/>
      <c r="AI100" s="245"/>
      <c r="AJ100" s="245"/>
      <c r="AK100" s="245"/>
      <c r="AL100" s="245"/>
      <c r="AM100" s="245"/>
    </row>
    <row r="101" spans="1:39" ht="20.100000000000001" customHeight="1" x14ac:dyDescent="0.25">
      <c r="A101" s="65"/>
      <c r="B101" s="66"/>
      <c r="C101" s="54"/>
      <c r="D101" s="71"/>
      <c r="E101" s="63"/>
      <c r="F101" s="63"/>
      <c r="G101" s="63"/>
      <c r="H101" s="63"/>
      <c r="I101" s="63"/>
      <c r="J101" s="63"/>
      <c r="K101" s="63"/>
      <c r="L101" s="63"/>
      <c r="M101" s="64"/>
      <c r="N101" s="50"/>
      <c r="O101" s="245"/>
      <c r="P101" s="245"/>
      <c r="Q101" s="245"/>
      <c r="R101" s="245"/>
      <c r="S101" s="245"/>
      <c r="T101" s="245"/>
      <c r="U101" s="245"/>
      <c r="V101" s="245"/>
      <c r="W101" s="245"/>
      <c r="X101" s="245"/>
      <c r="Y101" s="245"/>
      <c r="Z101" s="245"/>
      <c r="AA101" s="245"/>
      <c r="AB101" s="245"/>
      <c r="AC101" s="245"/>
      <c r="AD101" s="245"/>
      <c r="AE101" s="245"/>
      <c r="AF101" s="245"/>
      <c r="AG101" s="245"/>
      <c r="AH101" s="245"/>
      <c r="AI101" s="245"/>
      <c r="AJ101" s="245"/>
      <c r="AK101" s="245"/>
      <c r="AL101" s="245"/>
      <c r="AM101" s="245"/>
    </row>
    <row r="102" spans="1:39" ht="20.100000000000001" customHeight="1" x14ac:dyDescent="0.25">
      <c r="A102" s="65"/>
      <c r="B102" s="66"/>
      <c r="C102" s="54"/>
      <c r="D102" s="71"/>
      <c r="E102" s="63"/>
      <c r="F102" s="63"/>
      <c r="G102" s="63"/>
      <c r="H102" s="63"/>
      <c r="I102" s="63"/>
      <c r="J102" s="63"/>
      <c r="K102" s="63"/>
      <c r="L102" s="63"/>
      <c r="M102" s="64"/>
      <c r="N102" s="50"/>
      <c r="O102" s="245"/>
      <c r="P102" s="245"/>
      <c r="Q102" s="245"/>
      <c r="R102" s="245"/>
      <c r="S102" s="245"/>
      <c r="T102" s="245"/>
      <c r="U102" s="245"/>
      <c r="V102" s="245"/>
      <c r="W102" s="245"/>
      <c r="X102" s="245"/>
      <c r="Y102" s="245"/>
      <c r="Z102" s="245"/>
      <c r="AA102" s="245"/>
      <c r="AB102" s="245"/>
      <c r="AC102" s="245"/>
      <c r="AD102" s="245"/>
      <c r="AE102" s="245"/>
      <c r="AF102" s="245"/>
      <c r="AG102" s="245"/>
      <c r="AH102" s="245"/>
      <c r="AI102" s="245"/>
      <c r="AJ102" s="245"/>
      <c r="AK102" s="245"/>
      <c r="AL102" s="245"/>
      <c r="AM102" s="245"/>
    </row>
    <row r="103" spans="1:39" ht="20.100000000000001" customHeight="1" x14ac:dyDescent="0.25">
      <c r="A103" s="65"/>
      <c r="B103" s="66"/>
      <c r="C103" s="54"/>
      <c r="D103" s="71"/>
      <c r="E103" s="63"/>
      <c r="F103" s="63"/>
      <c r="G103" s="63"/>
      <c r="H103" s="63"/>
      <c r="I103" s="63"/>
      <c r="J103" s="63"/>
      <c r="K103" s="63"/>
      <c r="L103" s="63"/>
      <c r="M103" s="64"/>
      <c r="N103" s="50"/>
      <c r="O103" s="245"/>
      <c r="P103" s="245"/>
      <c r="Q103" s="245"/>
      <c r="R103" s="245"/>
      <c r="S103" s="245"/>
      <c r="T103" s="245"/>
      <c r="U103" s="245"/>
      <c r="V103" s="245"/>
      <c r="W103" s="245"/>
      <c r="X103" s="245"/>
      <c r="Y103" s="245"/>
      <c r="Z103" s="245"/>
      <c r="AA103" s="245"/>
      <c r="AB103" s="245"/>
      <c r="AC103" s="245"/>
      <c r="AD103" s="245"/>
      <c r="AE103" s="245"/>
      <c r="AF103" s="245"/>
      <c r="AG103" s="245"/>
      <c r="AH103" s="245"/>
      <c r="AI103" s="245"/>
      <c r="AJ103" s="245"/>
      <c r="AK103" s="245"/>
      <c r="AL103" s="245"/>
      <c r="AM103" s="245"/>
    </row>
    <row r="104" spans="1:39" ht="20.100000000000001" customHeight="1" x14ac:dyDescent="0.25">
      <c r="A104" s="65"/>
      <c r="B104" s="66"/>
      <c r="C104" s="54"/>
      <c r="D104" s="71"/>
      <c r="E104" s="63"/>
      <c r="F104" s="63"/>
      <c r="G104" s="63"/>
      <c r="H104" s="63"/>
      <c r="I104" s="63"/>
      <c r="J104" s="63"/>
      <c r="K104" s="63"/>
      <c r="L104" s="63"/>
      <c r="M104" s="64"/>
      <c r="N104" s="50"/>
      <c r="O104" s="245"/>
      <c r="P104" s="245"/>
      <c r="Q104" s="245"/>
      <c r="R104" s="245"/>
      <c r="S104" s="245"/>
      <c r="T104" s="245"/>
      <c r="U104" s="245"/>
      <c r="V104" s="245"/>
      <c r="W104" s="245"/>
      <c r="X104" s="245"/>
      <c r="Y104" s="245"/>
      <c r="Z104" s="245"/>
      <c r="AA104" s="245"/>
      <c r="AB104" s="245"/>
      <c r="AC104" s="245"/>
      <c r="AD104" s="245"/>
      <c r="AE104" s="245"/>
      <c r="AF104" s="245"/>
      <c r="AG104" s="245"/>
      <c r="AH104" s="245"/>
      <c r="AI104" s="245"/>
      <c r="AJ104" s="245"/>
      <c r="AK104" s="245"/>
      <c r="AL104" s="245"/>
      <c r="AM104" s="245"/>
    </row>
    <row r="105" spans="1:39" ht="20.100000000000001" customHeight="1" x14ac:dyDescent="0.25">
      <c r="A105" s="65"/>
      <c r="B105" s="66"/>
      <c r="C105" s="54"/>
      <c r="D105" s="71"/>
      <c r="E105" s="63"/>
      <c r="F105" s="63"/>
      <c r="G105" s="63"/>
      <c r="H105" s="63"/>
      <c r="I105" s="63"/>
      <c r="J105" s="63"/>
      <c r="K105" s="63"/>
      <c r="L105" s="63"/>
      <c r="M105" s="64"/>
      <c r="N105" s="50"/>
      <c r="O105" s="245"/>
      <c r="P105" s="245"/>
      <c r="Q105" s="245"/>
      <c r="R105" s="245"/>
      <c r="S105" s="245"/>
      <c r="T105" s="245"/>
      <c r="U105" s="245"/>
      <c r="V105" s="245"/>
      <c r="W105" s="245"/>
      <c r="X105" s="245"/>
      <c r="Y105" s="245"/>
      <c r="Z105" s="245"/>
      <c r="AA105" s="245"/>
      <c r="AB105" s="245"/>
      <c r="AC105" s="245"/>
      <c r="AD105" s="245"/>
      <c r="AE105" s="245"/>
      <c r="AF105" s="245"/>
      <c r="AG105" s="245"/>
      <c r="AH105" s="245"/>
      <c r="AI105" s="245"/>
      <c r="AJ105" s="245"/>
      <c r="AK105" s="245"/>
      <c r="AL105" s="245"/>
      <c r="AM105" s="245"/>
    </row>
    <row r="106" spans="1:39" ht="20.100000000000001" customHeight="1" x14ac:dyDescent="0.25">
      <c r="A106" s="65"/>
      <c r="B106" s="66"/>
      <c r="C106" s="54"/>
      <c r="D106" s="71"/>
      <c r="E106" s="63"/>
      <c r="F106" s="63"/>
      <c r="G106" s="63"/>
      <c r="H106" s="63"/>
      <c r="I106" s="63"/>
      <c r="J106" s="63"/>
      <c r="K106" s="63"/>
      <c r="L106" s="63"/>
      <c r="M106" s="64"/>
      <c r="N106" s="50"/>
      <c r="O106" s="245"/>
      <c r="P106" s="245"/>
      <c r="Q106" s="245"/>
      <c r="R106" s="245"/>
      <c r="S106" s="245"/>
      <c r="T106" s="245"/>
      <c r="U106" s="245"/>
      <c r="V106" s="245"/>
      <c r="W106" s="245"/>
      <c r="X106" s="245"/>
      <c r="Y106" s="245"/>
      <c r="Z106" s="245"/>
      <c r="AA106" s="245"/>
      <c r="AB106" s="245"/>
      <c r="AC106" s="245"/>
      <c r="AD106" s="245"/>
      <c r="AE106" s="245"/>
      <c r="AF106" s="245"/>
      <c r="AG106" s="245"/>
      <c r="AH106" s="245"/>
      <c r="AI106" s="245"/>
      <c r="AJ106" s="245"/>
      <c r="AK106" s="245"/>
      <c r="AL106" s="245"/>
      <c r="AM106" s="245"/>
    </row>
    <row r="107" spans="1:39" ht="20.100000000000001" customHeight="1" x14ac:dyDescent="0.25">
      <c r="A107" s="65"/>
      <c r="B107" s="66"/>
      <c r="C107" s="54"/>
      <c r="D107" s="71"/>
      <c r="E107" s="63"/>
      <c r="F107" s="63"/>
      <c r="G107" s="63"/>
      <c r="H107" s="63"/>
      <c r="I107" s="63"/>
      <c r="J107" s="63"/>
      <c r="K107" s="63"/>
      <c r="L107" s="63"/>
      <c r="M107" s="64"/>
      <c r="N107" s="50"/>
      <c r="O107" s="245"/>
      <c r="P107" s="245"/>
      <c r="Q107" s="245"/>
      <c r="R107" s="245"/>
      <c r="S107" s="245"/>
      <c r="T107" s="245"/>
      <c r="U107" s="245"/>
      <c r="V107" s="245"/>
      <c r="W107" s="245"/>
      <c r="X107" s="245"/>
      <c r="Y107" s="245"/>
      <c r="Z107" s="245"/>
      <c r="AA107" s="245"/>
      <c r="AB107" s="245"/>
      <c r="AC107" s="245"/>
      <c r="AD107" s="245"/>
      <c r="AE107" s="245"/>
      <c r="AF107" s="245"/>
      <c r="AG107" s="245"/>
      <c r="AH107" s="245"/>
      <c r="AI107" s="245"/>
      <c r="AJ107" s="245"/>
      <c r="AK107" s="245"/>
      <c r="AL107" s="245"/>
      <c r="AM107" s="245"/>
    </row>
    <row r="108" spans="1:39" ht="20.100000000000001" customHeight="1" x14ac:dyDescent="0.25">
      <c r="A108" s="65"/>
      <c r="B108" s="66"/>
      <c r="C108" s="54"/>
      <c r="D108" s="71"/>
      <c r="E108" s="63"/>
      <c r="F108" s="63"/>
      <c r="G108" s="63"/>
      <c r="H108" s="63"/>
      <c r="I108" s="63"/>
      <c r="J108" s="63"/>
      <c r="K108" s="63"/>
      <c r="L108" s="63"/>
      <c r="M108" s="64"/>
      <c r="N108" s="50"/>
      <c r="O108" s="245"/>
      <c r="P108" s="245"/>
      <c r="Q108" s="245"/>
      <c r="R108" s="245"/>
      <c r="S108" s="245"/>
      <c r="T108" s="245"/>
      <c r="U108" s="245"/>
      <c r="V108" s="245"/>
      <c r="W108" s="245"/>
      <c r="X108" s="245"/>
      <c r="Y108" s="245"/>
      <c r="Z108" s="245"/>
      <c r="AA108" s="245"/>
      <c r="AB108" s="245"/>
      <c r="AC108" s="245"/>
      <c r="AD108" s="245"/>
      <c r="AE108" s="245"/>
      <c r="AF108" s="245"/>
      <c r="AG108" s="245"/>
      <c r="AH108" s="245"/>
      <c r="AI108" s="245"/>
      <c r="AJ108" s="245"/>
      <c r="AK108" s="245"/>
      <c r="AL108" s="245"/>
      <c r="AM108" s="245"/>
    </row>
    <row r="109" spans="1:39" ht="20.100000000000001" customHeight="1" x14ac:dyDescent="0.25">
      <c r="A109" s="65"/>
      <c r="B109" s="66"/>
      <c r="C109" s="54"/>
      <c r="D109" s="71"/>
      <c r="E109" s="63"/>
      <c r="F109" s="63"/>
      <c r="G109" s="63"/>
      <c r="H109" s="63"/>
      <c r="I109" s="63"/>
      <c r="J109" s="63"/>
      <c r="K109" s="63"/>
      <c r="L109" s="63"/>
      <c r="M109" s="64"/>
      <c r="N109" s="50"/>
      <c r="O109" s="245"/>
      <c r="P109" s="245"/>
      <c r="Q109" s="245"/>
      <c r="R109" s="245"/>
      <c r="S109" s="245"/>
      <c r="T109" s="245"/>
      <c r="U109" s="245"/>
      <c r="V109" s="245"/>
      <c r="W109" s="245"/>
      <c r="X109" s="245"/>
      <c r="Y109" s="245"/>
      <c r="Z109" s="245"/>
      <c r="AA109" s="245"/>
      <c r="AB109" s="245"/>
      <c r="AC109" s="245"/>
      <c r="AD109" s="245"/>
      <c r="AE109" s="245"/>
      <c r="AF109" s="245"/>
      <c r="AG109" s="245"/>
      <c r="AH109" s="245"/>
      <c r="AI109" s="245"/>
      <c r="AJ109" s="245"/>
      <c r="AK109" s="245"/>
      <c r="AL109" s="245"/>
      <c r="AM109" s="245"/>
    </row>
    <row r="110" spans="1:39" ht="20.100000000000001" customHeight="1" x14ac:dyDescent="0.25">
      <c r="A110" s="65"/>
      <c r="B110" s="66"/>
      <c r="C110" s="54"/>
      <c r="D110" s="71"/>
      <c r="E110" s="63"/>
      <c r="F110" s="63"/>
      <c r="G110" s="63"/>
      <c r="H110" s="63"/>
      <c r="I110" s="63"/>
      <c r="J110" s="63"/>
      <c r="K110" s="63"/>
      <c r="L110" s="63"/>
      <c r="M110" s="64"/>
      <c r="N110" s="50"/>
      <c r="O110" s="245"/>
      <c r="P110" s="245"/>
      <c r="Q110" s="245"/>
      <c r="R110" s="245"/>
      <c r="S110" s="245"/>
      <c r="T110" s="245"/>
      <c r="U110" s="245"/>
      <c r="V110" s="245"/>
      <c r="W110" s="245"/>
      <c r="X110" s="245"/>
      <c r="Y110" s="245"/>
      <c r="Z110" s="245"/>
      <c r="AA110" s="245"/>
      <c r="AB110" s="245"/>
      <c r="AC110" s="245"/>
      <c r="AD110" s="245"/>
      <c r="AE110" s="245"/>
      <c r="AF110" s="245"/>
      <c r="AG110" s="245"/>
      <c r="AH110" s="245"/>
      <c r="AI110" s="245"/>
      <c r="AJ110" s="245"/>
      <c r="AK110" s="245"/>
      <c r="AL110" s="245"/>
      <c r="AM110" s="245"/>
    </row>
    <row r="111" spans="1:39" ht="20.100000000000001" customHeight="1" x14ac:dyDescent="0.25">
      <c r="A111" s="65"/>
      <c r="B111" s="66"/>
      <c r="C111" s="54"/>
      <c r="D111" s="71"/>
      <c r="E111" s="63"/>
      <c r="F111" s="63"/>
      <c r="G111" s="63"/>
      <c r="H111" s="63"/>
      <c r="I111" s="63"/>
      <c r="J111" s="63"/>
      <c r="K111" s="63"/>
      <c r="L111" s="63"/>
      <c r="M111" s="64"/>
      <c r="N111" s="50"/>
      <c r="O111" s="245"/>
      <c r="P111" s="245"/>
      <c r="Q111" s="245"/>
      <c r="R111" s="245"/>
      <c r="S111" s="245"/>
      <c r="T111" s="245"/>
      <c r="U111" s="245"/>
      <c r="V111" s="245"/>
      <c r="W111" s="245"/>
      <c r="X111" s="245"/>
      <c r="Y111" s="245"/>
      <c r="Z111" s="245"/>
      <c r="AA111" s="245"/>
      <c r="AB111" s="245"/>
      <c r="AC111" s="245"/>
      <c r="AD111" s="245"/>
      <c r="AE111" s="245"/>
      <c r="AF111" s="245"/>
      <c r="AG111" s="245"/>
      <c r="AH111" s="245"/>
      <c r="AI111" s="245"/>
      <c r="AJ111" s="245"/>
      <c r="AK111" s="245"/>
      <c r="AL111" s="245"/>
      <c r="AM111" s="245"/>
    </row>
    <row r="112" spans="1:39" ht="20.100000000000001" customHeight="1" x14ac:dyDescent="0.25">
      <c r="A112" s="65"/>
      <c r="B112" s="66"/>
      <c r="C112" s="54"/>
      <c r="D112" s="71"/>
      <c r="E112" s="63"/>
      <c r="F112" s="63"/>
      <c r="G112" s="63"/>
      <c r="H112" s="63"/>
      <c r="I112" s="63"/>
      <c r="J112" s="63"/>
      <c r="K112" s="63"/>
      <c r="L112" s="63"/>
      <c r="M112" s="64"/>
      <c r="N112" s="50"/>
      <c r="O112" s="245"/>
      <c r="P112" s="245"/>
      <c r="Q112" s="245"/>
      <c r="R112" s="245"/>
      <c r="S112" s="245"/>
      <c r="T112" s="245"/>
      <c r="U112" s="245"/>
      <c r="V112" s="245"/>
      <c r="W112" s="245"/>
      <c r="X112" s="245"/>
      <c r="Y112" s="245"/>
      <c r="Z112" s="245"/>
      <c r="AA112" s="245"/>
      <c r="AB112" s="245"/>
      <c r="AC112" s="245"/>
      <c r="AD112" s="245"/>
      <c r="AE112" s="245"/>
      <c r="AF112" s="245"/>
      <c r="AG112" s="245"/>
      <c r="AH112" s="245"/>
      <c r="AI112" s="245"/>
      <c r="AJ112" s="245"/>
      <c r="AK112" s="245"/>
      <c r="AL112" s="245"/>
      <c r="AM112" s="245"/>
    </row>
    <row r="113" spans="1:39" ht="20.100000000000001" customHeight="1" x14ac:dyDescent="0.25">
      <c r="A113" s="65"/>
      <c r="B113" s="66"/>
      <c r="C113" s="54"/>
      <c r="D113" s="71"/>
      <c r="E113" s="63"/>
      <c r="F113" s="63"/>
      <c r="G113" s="63"/>
      <c r="H113" s="63"/>
      <c r="I113" s="63"/>
      <c r="J113" s="63"/>
      <c r="K113" s="63"/>
      <c r="L113" s="63"/>
      <c r="M113" s="64"/>
      <c r="N113" s="50"/>
      <c r="O113" s="245"/>
      <c r="P113" s="245"/>
      <c r="Q113" s="245"/>
      <c r="R113" s="245"/>
      <c r="S113" s="245"/>
      <c r="T113" s="245"/>
      <c r="U113" s="245"/>
      <c r="V113" s="245"/>
      <c r="W113" s="245"/>
      <c r="X113" s="245"/>
      <c r="Y113" s="245"/>
      <c r="Z113" s="245"/>
      <c r="AA113" s="245"/>
      <c r="AB113" s="245"/>
      <c r="AC113" s="245"/>
      <c r="AD113" s="245"/>
      <c r="AE113" s="245"/>
      <c r="AF113" s="245"/>
      <c r="AG113" s="245"/>
      <c r="AH113" s="245"/>
      <c r="AI113" s="245"/>
      <c r="AJ113" s="245"/>
      <c r="AK113" s="245"/>
      <c r="AL113" s="245"/>
      <c r="AM113" s="245"/>
    </row>
    <row r="114" spans="1:39" ht="20.100000000000001" customHeight="1" x14ac:dyDescent="0.25">
      <c r="A114" s="65"/>
      <c r="B114" s="66"/>
      <c r="C114" s="54"/>
      <c r="D114" s="71"/>
      <c r="E114" s="63"/>
      <c r="F114" s="63"/>
      <c r="G114" s="63"/>
      <c r="H114" s="63"/>
      <c r="I114" s="63"/>
      <c r="J114" s="63"/>
      <c r="K114" s="63"/>
      <c r="L114" s="63"/>
      <c r="M114" s="64"/>
      <c r="N114" s="50"/>
      <c r="O114" s="245"/>
      <c r="P114" s="245"/>
      <c r="Q114" s="245"/>
      <c r="R114" s="245"/>
      <c r="S114" s="245"/>
      <c r="T114" s="245"/>
      <c r="U114" s="245"/>
      <c r="V114" s="245"/>
      <c r="W114" s="245"/>
      <c r="X114" s="245"/>
      <c r="Y114" s="245"/>
      <c r="Z114" s="245"/>
      <c r="AA114" s="245"/>
      <c r="AB114" s="245"/>
      <c r="AC114" s="245"/>
      <c r="AD114" s="245"/>
      <c r="AE114" s="245"/>
      <c r="AF114" s="245"/>
      <c r="AG114" s="245"/>
      <c r="AH114" s="245"/>
      <c r="AI114" s="245"/>
      <c r="AJ114" s="245"/>
      <c r="AK114" s="245"/>
      <c r="AL114" s="245"/>
      <c r="AM114" s="245"/>
    </row>
    <row r="115" spans="1:39" ht="20.100000000000001" customHeight="1" x14ac:dyDescent="0.25">
      <c r="A115" s="65"/>
      <c r="B115" s="66"/>
      <c r="C115" s="54"/>
      <c r="D115" s="71"/>
      <c r="E115" s="63"/>
      <c r="F115" s="63"/>
      <c r="G115" s="63"/>
      <c r="H115" s="63"/>
      <c r="I115" s="63"/>
      <c r="J115" s="63"/>
      <c r="K115" s="63"/>
      <c r="L115" s="63"/>
      <c r="M115" s="64"/>
      <c r="N115" s="50"/>
      <c r="O115" s="245"/>
      <c r="P115" s="245"/>
      <c r="Q115" s="245"/>
      <c r="R115" s="245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5"/>
    </row>
    <row r="116" spans="1:39" ht="20.100000000000001" customHeight="1" x14ac:dyDescent="0.25">
      <c r="A116" s="65"/>
      <c r="B116" s="66"/>
      <c r="C116" s="54"/>
      <c r="D116" s="71"/>
      <c r="E116" s="63"/>
      <c r="F116" s="63"/>
      <c r="G116" s="63"/>
      <c r="H116" s="63"/>
      <c r="I116" s="63"/>
      <c r="J116" s="63"/>
      <c r="K116" s="63"/>
      <c r="L116" s="63"/>
      <c r="M116" s="64"/>
      <c r="N116" s="50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</row>
    <row r="117" spans="1:39" ht="20.100000000000001" customHeight="1" x14ac:dyDescent="0.25">
      <c r="A117" s="65"/>
      <c r="B117" s="66"/>
      <c r="C117" s="54"/>
      <c r="D117" s="71"/>
      <c r="E117" s="63"/>
      <c r="F117" s="63"/>
      <c r="G117" s="63"/>
      <c r="H117" s="63"/>
      <c r="I117" s="63"/>
      <c r="J117" s="63"/>
      <c r="K117" s="63"/>
      <c r="L117" s="63"/>
      <c r="M117" s="64"/>
      <c r="N117" s="50"/>
      <c r="O117" s="245"/>
      <c r="P117" s="245"/>
      <c r="Q117" s="245"/>
      <c r="R117" s="245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5"/>
    </row>
    <row r="118" spans="1:39" ht="20.100000000000001" customHeight="1" x14ac:dyDescent="0.25">
      <c r="A118" s="65"/>
      <c r="B118" s="66"/>
      <c r="C118" s="54"/>
      <c r="D118" s="71"/>
      <c r="E118" s="63"/>
      <c r="F118" s="63"/>
      <c r="G118" s="63"/>
      <c r="H118" s="63"/>
      <c r="I118" s="63"/>
      <c r="J118" s="63"/>
      <c r="K118" s="63"/>
      <c r="L118" s="63"/>
      <c r="M118" s="64"/>
      <c r="N118" s="50"/>
      <c r="O118" s="245"/>
      <c r="P118" s="245"/>
      <c r="Q118" s="245"/>
      <c r="R118" s="245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  <c r="AE118" s="245"/>
      <c r="AF118" s="245"/>
      <c r="AG118" s="245"/>
      <c r="AH118" s="245"/>
      <c r="AI118" s="245"/>
      <c r="AJ118" s="245"/>
      <c r="AK118" s="245"/>
      <c r="AL118" s="245"/>
      <c r="AM118" s="245"/>
    </row>
    <row r="119" spans="1:39" ht="20.100000000000001" customHeight="1" x14ac:dyDescent="0.25">
      <c r="A119" s="65"/>
      <c r="B119" s="66"/>
      <c r="C119" s="54"/>
      <c r="D119" s="71"/>
      <c r="E119" s="63"/>
      <c r="F119" s="63"/>
      <c r="G119" s="63"/>
      <c r="H119" s="63"/>
      <c r="I119" s="63"/>
      <c r="J119" s="63"/>
      <c r="K119" s="63"/>
      <c r="L119" s="63"/>
      <c r="M119" s="64"/>
      <c r="N119" s="50"/>
      <c r="O119" s="245"/>
      <c r="P119" s="245"/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5"/>
      <c r="AL119" s="245"/>
      <c r="AM119" s="245"/>
    </row>
    <row r="120" spans="1:39" ht="20.100000000000001" customHeight="1" x14ac:dyDescent="0.25">
      <c r="A120" s="65"/>
      <c r="B120" s="66"/>
      <c r="C120" s="54"/>
      <c r="D120" s="71"/>
      <c r="E120" s="63"/>
      <c r="F120" s="63"/>
      <c r="G120" s="63"/>
      <c r="H120" s="63"/>
      <c r="I120" s="63"/>
      <c r="J120" s="63"/>
      <c r="K120" s="63"/>
      <c r="L120" s="63"/>
      <c r="M120" s="64"/>
      <c r="N120" s="50"/>
      <c r="O120" s="245"/>
      <c r="P120" s="245"/>
      <c r="Q120" s="245"/>
      <c r="R120" s="245"/>
      <c r="S120" s="245"/>
      <c r="T120" s="245"/>
      <c r="U120" s="245"/>
      <c r="V120" s="245"/>
      <c r="W120" s="245"/>
      <c r="X120" s="245"/>
      <c r="Y120" s="245"/>
      <c r="Z120" s="245"/>
      <c r="AA120" s="245"/>
      <c r="AB120" s="245"/>
      <c r="AC120" s="245"/>
      <c r="AD120" s="245"/>
      <c r="AE120" s="245"/>
      <c r="AF120" s="245"/>
      <c r="AG120" s="245"/>
      <c r="AH120" s="245"/>
      <c r="AI120" s="245"/>
      <c r="AJ120" s="245"/>
      <c r="AK120" s="245"/>
      <c r="AL120" s="245"/>
      <c r="AM120" s="245"/>
    </row>
    <row r="121" spans="1:39" ht="20.100000000000001" customHeight="1" x14ac:dyDescent="0.25">
      <c r="A121" s="65"/>
      <c r="B121" s="66"/>
      <c r="C121" s="54"/>
      <c r="D121" s="71"/>
      <c r="E121" s="63"/>
      <c r="F121" s="63"/>
      <c r="G121" s="63"/>
      <c r="H121" s="63"/>
      <c r="I121" s="63"/>
      <c r="J121" s="63"/>
      <c r="K121" s="63"/>
      <c r="L121" s="63"/>
      <c r="M121" s="64"/>
      <c r="N121" s="50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5"/>
    </row>
    <row r="122" spans="1:39" ht="20.100000000000001" customHeight="1" x14ac:dyDescent="0.25">
      <c r="A122" s="65"/>
      <c r="B122" s="66"/>
      <c r="C122" s="54"/>
      <c r="D122" s="71"/>
      <c r="E122" s="63"/>
      <c r="F122" s="63"/>
      <c r="G122" s="63"/>
      <c r="H122" s="63"/>
      <c r="I122" s="63"/>
      <c r="J122" s="63"/>
      <c r="K122" s="63"/>
      <c r="L122" s="63"/>
      <c r="M122" s="64"/>
      <c r="N122" s="50"/>
      <c r="O122" s="245"/>
      <c r="P122" s="245"/>
      <c r="Q122" s="245"/>
      <c r="R122" s="245"/>
      <c r="S122" s="245"/>
      <c r="T122" s="245"/>
      <c r="U122" s="245"/>
      <c r="V122" s="245"/>
      <c r="W122" s="245"/>
      <c r="X122" s="245"/>
      <c r="Y122" s="245"/>
      <c r="Z122" s="245"/>
      <c r="AA122" s="245"/>
      <c r="AB122" s="245"/>
      <c r="AC122" s="245"/>
      <c r="AD122" s="245"/>
      <c r="AE122" s="245"/>
      <c r="AF122" s="245"/>
      <c r="AG122" s="245"/>
      <c r="AH122" s="245"/>
      <c r="AI122" s="245"/>
      <c r="AJ122" s="245"/>
      <c r="AK122" s="245"/>
      <c r="AL122" s="245"/>
      <c r="AM122" s="245"/>
    </row>
    <row r="123" spans="1:39" ht="20.100000000000001" customHeight="1" x14ac:dyDescent="0.25">
      <c r="A123" s="65"/>
      <c r="B123" s="66"/>
      <c r="C123" s="54"/>
      <c r="D123" s="71"/>
      <c r="E123" s="63"/>
      <c r="F123" s="63"/>
      <c r="G123" s="63"/>
      <c r="H123" s="63"/>
      <c r="I123" s="63"/>
      <c r="J123" s="63"/>
      <c r="K123" s="63"/>
      <c r="L123" s="63"/>
      <c r="M123" s="64"/>
      <c r="N123" s="50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5"/>
      <c r="AL123" s="245"/>
      <c r="AM123" s="245"/>
    </row>
    <row r="124" spans="1:39" ht="20.100000000000001" customHeight="1" x14ac:dyDescent="0.25">
      <c r="A124" s="65"/>
      <c r="B124" s="66"/>
      <c r="C124" s="54"/>
      <c r="D124" s="71"/>
      <c r="E124" s="63"/>
      <c r="F124" s="63"/>
      <c r="G124" s="63"/>
      <c r="H124" s="63"/>
      <c r="I124" s="63"/>
      <c r="J124" s="63"/>
      <c r="K124" s="63"/>
      <c r="L124" s="63"/>
      <c r="M124" s="64"/>
      <c r="N124" s="50"/>
      <c r="O124" s="245"/>
      <c r="P124" s="245"/>
      <c r="Q124" s="245"/>
      <c r="R124" s="245"/>
      <c r="S124" s="245"/>
      <c r="T124" s="245"/>
      <c r="U124" s="245"/>
      <c r="V124" s="245"/>
      <c r="W124" s="245"/>
      <c r="X124" s="245"/>
      <c r="Y124" s="245"/>
      <c r="Z124" s="245"/>
      <c r="AA124" s="245"/>
      <c r="AB124" s="245"/>
      <c r="AC124" s="245"/>
      <c r="AD124" s="245"/>
      <c r="AE124" s="245"/>
      <c r="AF124" s="245"/>
      <c r="AG124" s="245"/>
      <c r="AH124" s="245"/>
      <c r="AI124" s="245"/>
      <c r="AJ124" s="245"/>
      <c r="AK124" s="245"/>
      <c r="AL124" s="245"/>
      <c r="AM124" s="245"/>
    </row>
    <row r="125" spans="1:39" ht="20.100000000000001" customHeight="1" x14ac:dyDescent="0.25">
      <c r="A125" s="65"/>
      <c r="B125" s="66"/>
      <c r="C125" s="54"/>
      <c r="D125" s="71"/>
      <c r="E125" s="63"/>
      <c r="F125" s="63"/>
      <c r="G125" s="63"/>
      <c r="H125" s="63"/>
      <c r="I125" s="63"/>
      <c r="J125" s="63"/>
      <c r="K125" s="63"/>
      <c r="L125" s="63"/>
      <c r="M125" s="64"/>
      <c r="N125" s="50"/>
      <c r="O125" s="245"/>
      <c r="P125" s="245"/>
      <c r="Q125" s="245"/>
      <c r="R125" s="245"/>
      <c r="S125" s="245"/>
      <c r="T125" s="245"/>
      <c r="U125" s="245"/>
      <c r="V125" s="245"/>
      <c r="W125" s="245"/>
      <c r="X125" s="245"/>
      <c r="Y125" s="245"/>
      <c r="Z125" s="245"/>
      <c r="AA125" s="245"/>
      <c r="AB125" s="245"/>
      <c r="AC125" s="245"/>
      <c r="AD125" s="245"/>
      <c r="AE125" s="245"/>
      <c r="AF125" s="245"/>
      <c r="AG125" s="245"/>
      <c r="AH125" s="245"/>
      <c r="AI125" s="245"/>
      <c r="AJ125" s="245"/>
      <c r="AK125" s="245"/>
      <c r="AL125" s="245"/>
      <c r="AM125" s="245"/>
    </row>
    <row r="126" spans="1:39" ht="20.100000000000001" customHeight="1" x14ac:dyDescent="0.25">
      <c r="A126" s="65"/>
      <c r="B126" s="66"/>
      <c r="C126" s="54"/>
      <c r="D126" s="71"/>
      <c r="E126" s="63"/>
      <c r="F126" s="63"/>
      <c r="G126" s="63"/>
      <c r="H126" s="63"/>
      <c r="I126" s="63"/>
      <c r="J126" s="63"/>
      <c r="K126" s="63"/>
      <c r="L126" s="63"/>
      <c r="M126" s="64"/>
      <c r="N126" s="50"/>
      <c r="O126" s="245"/>
      <c r="P126" s="245"/>
      <c r="Q126" s="245"/>
      <c r="R126" s="245"/>
      <c r="S126" s="245"/>
      <c r="T126" s="245"/>
      <c r="U126" s="245"/>
      <c r="V126" s="245"/>
      <c r="W126" s="245"/>
      <c r="X126" s="245"/>
      <c r="Y126" s="245"/>
      <c r="Z126" s="245"/>
      <c r="AA126" s="245"/>
      <c r="AB126" s="245"/>
      <c r="AC126" s="245"/>
      <c r="AD126" s="245"/>
      <c r="AE126" s="245"/>
      <c r="AF126" s="245"/>
      <c r="AG126" s="245"/>
      <c r="AH126" s="245"/>
      <c r="AI126" s="245"/>
      <c r="AJ126" s="245"/>
      <c r="AK126" s="245"/>
      <c r="AL126" s="245"/>
      <c r="AM126" s="245"/>
    </row>
    <row r="127" spans="1:39" ht="20.100000000000001" customHeight="1" x14ac:dyDescent="0.25">
      <c r="A127" s="65"/>
      <c r="B127" s="66"/>
      <c r="C127" s="54"/>
      <c r="D127" s="71"/>
      <c r="E127" s="63"/>
      <c r="F127" s="63"/>
      <c r="G127" s="63"/>
      <c r="H127" s="63"/>
      <c r="I127" s="63"/>
      <c r="J127" s="63"/>
      <c r="K127" s="63"/>
      <c r="L127" s="63"/>
      <c r="M127" s="64"/>
      <c r="N127" s="50"/>
      <c r="O127" s="245"/>
      <c r="P127" s="245"/>
      <c r="Q127" s="245"/>
      <c r="R127" s="245"/>
      <c r="S127" s="245"/>
      <c r="T127" s="245"/>
      <c r="U127" s="245"/>
      <c r="V127" s="245"/>
      <c r="W127" s="245"/>
      <c r="X127" s="245"/>
      <c r="Y127" s="245"/>
      <c r="Z127" s="245"/>
      <c r="AA127" s="245"/>
      <c r="AB127" s="245"/>
      <c r="AC127" s="245"/>
      <c r="AD127" s="245"/>
      <c r="AE127" s="245"/>
      <c r="AF127" s="245"/>
      <c r="AG127" s="245"/>
      <c r="AH127" s="245"/>
      <c r="AI127" s="245"/>
      <c r="AJ127" s="245"/>
      <c r="AK127" s="245"/>
      <c r="AL127" s="245"/>
      <c r="AM127" s="245"/>
    </row>
    <row r="128" spans="1:39" ht="20.100000000000001" customHeight="1" x14ac:dyDescent="0.25">
      <c r="A128" s="65"/>
      <c r="B128" s="66"/>
      <c r="C128" s="54"/>
      <c r="D128" s="71"/>
      <c r="E128" s="63"/>
      <c r="F128" s="63"/>
      <c r="G128" s="63"/>
      <c r="H128" s="63"/>
      <c r="I128" s="63"/>
      <c r="J128" s="63"/>
      <c r="K128" s="63"/>
      <c r="L128" s="63"/>
      <c r="M128" s="64"/>
      <c r="N128" s="50"/>
      <c r="O128" s="245"/>
      <c r="P128" s="245"/>
      <c r="Q128" s="245"/>
      <c r="R128" s="245"/>
      <c r="S128" s="245"/>
      <c r="T128" s="245"/>
      <c r="U128" s="245"/>
      <c r="V128" s="245"/>
      <c r="W128" s="245"/>
      <c r="X128" s="245"/>
      <c r="Y128" s="245"/>
      <c r="Z128" s="245"/>
      <c r="AA128" s="245"/>
      <c r="AB128" s="245"/>
      <c r="AC128" s="245"/>
      <c r="AD128" s="245"/>
      <c r="AE128" s="245"/>
      <c r="AF128" s="245"/>
      <c r="AG128" s="245"/>
      <c r="AH128" s="245"/>
      <c r="AI128" s="245"/>
      <c r="AJ128" s="245"/>
      <c r="AK128" s="245"/>
      <c r="AL128" s="245"/>
      <c r="AM128" s="245"/>
    </row>
    <row r="129" spans="1:39" ht="20.100000000000001" customHeight="1" x14ac:dyDescent="0.25">
      <c r="A129" s="65"/>
      <c r="B129" s="66"/>
      <c r="C129" s="54"/>
      <c r="D129" s="71"/>
      <c r="E129" s="63"/>
      <c r="F129" s="63"/>
      <c r="G129" s="63"/>
      <c r="H129" s="63"/>
      <c r="I129" s="63"/>
      <c r="J129" s="63"/>
      <c r="K129" s="63"/>
      <c r="L129" s="63"/>
      <c r="M129" s="64"/>
      <c r="N129" s="50"/>
      <c r="O129" s="245"/>
      <c r="P129" s="245"/>
      <c r="Q129" s="245"/>
      <c r="R129" s="245"/>
      <c r="S129" s="245"/>
      <c r="T129" s="245"/>
      <c r="U129" s="245"/>
      <c r="V129" s="245"/>
      <c r="W129" s="245"/>
      <c r="X129" s="245"/>
      <c r="Y129" s="245"/>
      <c r="Z129" s="245"/>
      <c r="AA129" s="245"/>
      <c r="AB129" s="245"/>
      <c r="AC129" s="245"/>
      <c r="AD129" s="245"/>
      <c r="AE129" s="245"/>
      <c r="AF129" s="245"/>
      <c r="AG129" s="245"/>
      <c r="AH129" s="245"/>
      <c r="AI129" s="245"/>
      <c r="AJ129" s="245"/>
      <c r="AK129" s="245"/>
      <c r="AL129" s="245"/>
      <c r="AM129" s="245"/>
    </row>
    <row r="130" spans="1:39" ht="20.100000000000001" customHeight="1" x14ac:dyDescent="0.25">
      <c r="A130" s="65"/>
      <c r="B130" s="66"/>
      <c r="C130" s="54"/>
      <c r="D130" s="71"/>
      <c r="E130" s="63"/>
      <c r="F130" s="63"/>
      <c r="G130" s="63"/>
      <c r="H130" s="63"/>
      <c r="I130" s="63"/>
      <c r="J130" s="63"/>
      <c r="K130" s="63"/>
      <c r="L130" s="63"/>
      <c r="M130" s="64"/>
      <c r="N130" s="50"/>
      <c r="O130" s="245"/>
      <c r="P130" s="245"/>
      <c r="Q130" s="245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245"/>
      <c r="AC130" s="245"/>
      <c r="AD130" s="245"/>
      <c r="AE130" s="245"/>
      <c r="AF130" s="245"/>
      <c r="AG130" s="245"/>
      <c r="AH130" s="245"/>
      <c r="AI130" s="245"/>
      <c r="AJ130" s="245"/>
      <c r="AK130" s="245"/>
      <c r="AL130" s="245"/>
      <c r="AM130" s="245"/>
    </row>
    <row r="131" spans="1:39" ht="20.100000000000001" customHeight="1" x14ac:dyDescent="0.25">
      <c r="A131" s="65"/>
      <c r="B131" s="66"/>
      <c r="C131" s="54"/>
      <c r="D131" s="71"/>
      <c r="E131" s="63"/>
      <c r="F131" s="63"/>
      <c r="G131" s="63"/>
      <c r="H131" s="63"/>
      <c r="I131" s="63"/>
      <c r="J131" s="63"/>
      <c r="K131" s="63"/>
      <c r="L131" s="63"/>
      <c r="M131" s="64"/>
      <c r="N131" s="50"/>
      <c r="O131" s="245"/>
      <c r="P131" s="245"/>
      <c r="Q131" s="245"/>
      <c r="R131" s="245"/>
      <c r="S131" s="245"/>
      <c r="T131" s="245"/>
      <c r="U131" s="245"/>
      <c r="V131" s="245"/>
      <c r="W131" s="245"/>
      <c r="X131" s="245"/>
      <c r="Y131" s="245"/>
      <c r="Z131" s="245"/>
      <c r="AA131" s="245"/>
      <c r="AB131" s="245"/>
      <c r="AC131" s="245"/>
      <c r="AD131" s="245"/>
      <c r="AE131" s="245"/>
      <c r="AF131" s="245"/>
      <c r="AG131" s="245"/>
      <c r="AH131" s="245"/>
      <c r="AI131" s="245"/>
      <c r="AJ131" s="245"/>
      <c r="AK131" s="245"/>
      <c r="AL131" s="245"/>
      <c r="AM131" s="245"/>
    </row>
    <row r="132" spans="1:39" ht="20.100000000000001" customHeight="1" x14ac:dyDescent="0.25">
      <c r="A132" s="65"/>
      <c r="B132" s="66"/>
      <c r="C132" s="54"/>
      <c r="D132" s="71"/>
      <c r="E132" s="63"/>
      <c r="F132" s="63"/>
      <c r="G132" s="63"/>
      <c r="H132" s="63"/>
      <c r="I132" s="63"/>
      <c r="J132" s="63"/>
      <c r="K132" s="63"/>
      <c r="L132" s="63"/>
      <c r="M132" s="64"/>
      <c r="N132" s="50"/>
      <c r="O132" s="245"/>
      <c r="P132" s="245"/>
      <c r="Q132" s="245"/>
      <c r="R132" s="245"/>
      <c r="S132" s="245"/>
      <c r="T132" s="245"/>
      <c r="U132" s="245"/>
      <c r="V132" s="245"/>
      <c r="W132" s="245"/>
      <c r="X132" s="245"/>
      <c r="Y132" s="245"/>
      <c r="Z132" s="245"/>
      <c r="AA132" s="245"/>
      <c r="AB132" s="245"/>
      <c r="AC132" s="245"/>
      <c r="AD132" s="245"/>
      <c r="AE132" s="245"/>
      <c r="AF132" s="245"/>
      <c r="AG132" s="245"/>
      <c r="AH132" s="245"/>
      <c r="AI132" s="245"/>
      <c r="AJ132" s="245"/>
      <c r="AK132" s="245"/>
      <c r="AL132" s="245"/>
      <c r="AM132" s="245"/>
    </row>
    <row r="133" spans="1:39" ht="20.100000000000001" customHeight="1" x14ac:dyDescent="0.25">
      <c r="A133" s="65"/>
      <c r="B133" s="66"/>
      <c r="C133" s="54"/>
      <c r="D133" s="71"/>
      <c r="E133" s="63"/>
      <c r="F133" s="63"/>
      <c r="G133" s="63"/>
      <c r="H133" s="63"/>
      <c r="I133" s="63"/>
      <c r="J133" s="63"/>
      <c r="K133" s="63"/>
      <c r="L133" s="63"/>
      <c r="M133" s="64"/>
      <c r="N133" s="50"/>
      <c r="O133" s="245"/>
      <c r="P133" s="245"/>
      <c r="Q133" s="245"/>
      <c r="R133" s="245"/>
      <c r="S133" s="245"/>
      <c r="T133" s="245"/>
      <c r="U133" s="245"/>
      <c r="V133" s="245"/>
      <c r="W133" s="245"/>
      <c r="X133" s="245"/>
      <c r="Y133" s="245"/>
      <c r="Z133" s="245"/>
      <c r="AA133" s="245"/>
      <c r="AB133" s="245"/>
      <c r="AC133" s="245"/>
      <c r="AD133" s="245"/>
      <c r="AE133" s="245"/>
      <c r="AF133" s="245"/>
      <c r="AG133" s="245"/>
      <c r="AH133" s="245"/>
      <c r="AI133" s="245"/>
      <c r="AJ133" s="245"/>
      <c r="AK133" s="245"/>
      <c r="AL133" s="245"/>
      <c r="AM133" s="245"/>
    </row>
    <row r="134" spans="1:39" ht="20.100000000000001" customHeight="1" x14ac:dyDescent="0.25">
      <c r="A134" s="65"/>
      <c r="B134" s="66"/>
      <c r="C134" s="54"/>
      <c r="D134" s="71"/>
      <c r="E134" s="63"/>
      <c r="F134" s="63"/>
      <c r="G134" s="63"/>
      <c r="H134" s="63"/>
      <c r="I134" s="63"/>
      <c r="J134" s="63"/>
      <c r="K134" s="63"/>
      <c r="L134" s="63"/>
      <c r="M134" s="64"/>
      <c r="N134" s="50"/>
      <c r="O134" s="245"/>
      <c r="P134" s="245"/>
      <c r="Q134" s="245"/>
      <c r="R134" s="245"/>
      <c r="S134" s="245"/>
      <c r="T134" s="245"/>
      <c r="U134" s="245"/>
      <c r="V134" s="245"/>
      <c r="W134" s="245"/>
      <c r="X134" s="245"/>
      <c r="Y134" s="245"/>
      <c r="Z134" s="245"/>
      <c r="AA134" s="245"/>
      <c r="AB134" s="245"/>
      <c r="AC134" s="245"/>
      <c r="AD134" s="245"/>
      <c r="AE134" s="245"/>
      <c r="AF134" s="245"/>
      <c r="AG134" s="245"/>
      <c r="AH134" s="245"/>
      <c r="AI134" s="245"/>
      <c r="AJ134" s="245"/>
      <c r="AK134" s="245"/>
      <c r="AL134" s="245"/>
      <c r="AM134" s="245"/>
    </row>
    <row r="135" spans="1:39" ht="20.100000000000001" customHeight="1" x14ac:dyDescent="0.25">
      <c r="A135" s="65"/>
      <c r="B135" s="66"/>
      <c r="C135" s="54"/>
      <c r="D135" s="71"/>
      <c r="E135" s="63"/>
      <c r="F135" s="63"/>
      <c r="G135" s="63"/>
      <c r="H135" s="63"/>
      <c r="I135" s="63"/>
      <c r="J135" s="63"/>
      <c r="K135" s="63"/>
      <c r="L135" s="63"/>
      <c r="M135" s="64"/>
      <c r="N135" s="50"/>
      <c r="O135" s="245"/>
      <c r="P135" s="245"/>
      <c r="Q135" s="245"/>
      <c r="R135" s="245"/>
      <c r="S135" s="245"/>
      <c r="T135" s="245"/>
      <c r="U135" s="245"/>
      <c r="V135" s="245"/>
      <c r="W135" s="245"/>
      <c r="X135" s="245"/>
      <c r="Y135" s="245"/>
      <c r="Z135" s="245"/>
      <c r="AA135" s="245"/>
      <c r="AB135" s="245"/>
      <c r="AC135" s="245"/>
      <c r="AD135" s="245"/>
      <c r="AE135" s="245"/>
      <c r="AF135" s="245"/>
      <c r="AG135" s="245"/>
      <c r="AH135" s="245"/>
      <c r="AI135" s="245"/>
      <c r="AJ135" s="245"/>
      <c r="AK135" s="245"/>
      <c r="AL135" s="245"/>
      <c r="AM135" s="245"/>
    </row>
    <row r="136" spans="1:39" ht="20.100000000000001" customHeight="1" x14ac:dyDescent="0.25">
      <c r="A136" s="65"/>
      <c r="B136" s="66"/>
      <c r="C136" s="54"/>
      <c r="D136" s="71"/>
      <c r="E136" s="63"/>
      <c r="F136" s="63"/>
      <c r="G136" s="63"/>
      <c r="H136" s="63"/>
      <c r="I136" s="63"/>
      <c r="J136" s="63"/>
      <c r="K136" s="63"/>
      <c r="L136" s="63"/>
      <c r="M136" s="64"/>
      <c r="N136" s="50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5"/>
    </row>
    <row r="137" spans="1:39" ht="20.100000000000001" customHeight="1" x14ac:dyDescent="0.25">
      <c r="A137" s="65"/>
      <c r="B137" s="66"/>
      <c r="C137" s="54"/>
      <c r="D137" s="71"/>
      <c r="E137" s="63"/>
      <c r="F137" s="63"/>
      <c r="G137" s="63"/>
      <c r="H137" s="63"/>
      <c r="I137" s="63"/>
      <c r="J137" s="63"/>
      <c r="K137" s="63"/>
      <c r="L137" s="63"/>
      <c r="M137" s="64"/>
      <c r="N137" s="50"/>
      <c r="O137" s="245"/>
      <c r="P137" s="245"/>
      <c r="Q137" s="245"/>
      <c r="R137" s="245"/>
      <c r="S137" s="245"/>
      <c r="T137" s="245"/>
      <c r="U137" s="245"/>
      <c r="V137" s="245"/>
      <c r="W137" s="245"/>
      <c r="X137" s="245"/>
      <c r="Y137" s="245"/>
      <c r="Z137" s="245"/>
      <c r="AA137" s="245"/>
      <c r="AB137" s="245"/>
      <c r="AC137" s="245"/>
      <c r="AD137" s="245"/>
      <c r="AE137" s="245"/>
      <c r="AF137" s="245"/>
      <c r="AG137" s="245"/>
      <c r="AH137" s="245"/>
      <c r="AI137" s="245"/>
      <c r="AJ137" s="245"/>
      <c r="AK137" s="245"/>
      <c r="AL137" s="245"/>
      <c r="AM137" s="245"/>
    </row>
    <row r="138" spans="1:39" ht="20.100000000000001" customHeight="1" x14ac:dyDescent="0.25">
      <c r="A138" s="65"/>
      <c r="B138" s="66"/>
      <c r="C138" s="54"/>
      <c r="D138" s="71"/>
      <c r="E138" s="63"/>
      <c r="F138" s="63"/>
      <c r="G138" s="63"/>
      <c r="H138" s="63"/>
      <c r="I138" s="63"/>
      <c r="J138" s="63"/>
      <c r="K138" s="63"/>
      <c r="L138" s="63"/>
      <c r="M138" s="64"/>
      <c r="N138" s="50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5"/>
    </row>
    <row r="139" spans="1:39" ht="20.100000000000001" customHeight="1" x14ac:dyDescent="0.25">
      <c r="A139" s="65"/>
      <c r="B139" s="66"/>
      <c r="C139" s="54"/>
      <c r="D139" s="71"/>
      <c r="E139" s="63"/>
      <c r="F139" s="63"/>
      <c r="G139" s="63"/>
      <c r="H139" s="63"/>
      <c r="I139" s="63"/>
      <c r="J139" s="63"/>
      <c r="K139" s="63"/>
      <c r="L139" s="63"/>
      <c r="M139" s="64"/>
      <c r="N139" s="50"/>
      <c r="O139" s="245"/>
      <c r="P139" s="245"/>
      <c r="Q139" s="245"/>
      <c r="R139" s="245"/>
      <c r="S139" s="245"/>
      <c r="T139" s="245"/>
      <c r="U139" s="245"/>
      <c r="V139" s="245"/>
      <c r="W139" s="245"/>
      <c r="X139" s="245"/>
      <c r="Y139" s="245"/>
      <c r="Z139" s="245"/>
      <c r="AA139" s="245"/>
      <c r="AB139" s="245"/>
      <c r="AC139" s="245"/>
      <c r="AD139" s="245"/>
      <c r="AE139" s="245"/>
      <c r="AF139" s="245"/>
      <c r="AG139" s="245"/>
      <c r="AH139" s="245"/>
      <c r="AI139" s="245"/>
      <c r="AJ139" s="245"/>
      <c r="AK139" s="245"/>
      <c r="AL139" s="245"/>
      <c r="AM139" s="245"/>
    </row>
    <row r="140" spans="1:39" ht="20.100000000000001" customHeight="1" x14ac:dyDescent="0.25">
      <c r="A140" s="65"/>
      <c r="B140" s="66"/>
      <c r="C140" s="54"/>
      <c r="D140" s="71"/>
      <c r="E140" s="63"/>
      <c r="F140" s="63"/>
      <c r="G140" s="63"/>
      <c r="H140" s="63"/>
      <c r="I140" s="63"/>
      <c r="J140" s="63"/>
      <c r="K140" s="63"/>
      <c r="L140" s="63"/>
      <c r="M140" s="64"/>
      <c r="N140" s="50"/>
      <c r="O140" s="245"/>
      <c r="P140" s="245"/>
      <c r="Q140" s="245"/>
      <c r="R140" s="245"/>
      <c r="S140" s="245"/>
      <c r="T140" s="245"/>
      <c r="U140" s="245"/>
      <c r="V140" s="245"/>
      <c r="W140" s="245"/>
      <c r="X140" s="245"/>
      <c r="Y140" s="245"/>
      <c r="Z140" s="245"/>
      <c r="AA140" s="245"/>
      <c r="AB140" s="245"/>
      <c r="AC140" s="245"/>
      <c r="AD140" s="245"/>
      <c r="AE140" s="245"/>
      <c r="AF140" s="245"/>
      <c r="AG140" s="245"/>
      <c r="AH140" s="245"/>
      <c r="AI140" s="245"/>
      <c r="AJ140" s="245"/>
      <c r="AK140" s="245"/>
      <c r="AL140" s="245"/>
      <c r="AM140" s="245"/>
    </row>
    <row r="141" spans="1:39" ht="20.100000000000001" customHeight="1" x14ac:dyDescent="0.25">
      <c r="A141" s="65"/>
      <c r="B141" s="66"/>
      <c r="C141" s="54"/>
      <c r="D141" s="71"/>
      <c r="E141" s="63"/>
      <c r="F141" s="63"/>
      <c r="G141" s="63"/>
      <c r="H141" s="63"/>
      <c r="I141" s="63"/>
      <c r="J141" s="63"/>
      <c r="K141" s="63"/>
      <c r="L141" s="63"/>
      <c r="M141" s="64"/>
      <c r="N141" s="50"/>
      <c r="O141" s="245"/>
      <c r="P141" s="245"/>
      <c r="Q141" s="245"/>
      <c r="R141" s="245"/>
      <c r="S141" s="245"/>
      <c r="T141" s="245"/>
      <c r="U141" s="245"/>
      <c r="V141" s="245"/>
      <c r="W141" s="245"/>
      <c r="X141" s="245"/>
      <c r="Y141" s="245"/>
      <c r="Z141" s="245"/>
      <c r="AA141" s="245"/>
      <c r="AB141" s="245"/>
      <c r="AC141" s="245"/>
      <c r="AD141" s="245"/>
      <c r="AE141" s="245"/>
      <c r="AF141" s="245"/>
      <c r="AG141" s="245"/>
      <c r="AH141" s="245"/>
      <c r="AI141" s="245"/>
      <c r="AJ141" s="245"/>
      <c r="AK141" s="245"/>
      <c r="AL141" s="245"/>
      <c r="AM141" s="245"/>
    </row>
    <row r="142" spans="1:39" ht="20.100000000000001" customHeight="1" x14ac:dyDescent="0.25">
      <c r="A142" s="65"/>
      <c r="B142" s="66"/>
      <c r="C142" s="54"/>
      <c r="D142" s="71"/>
      <c r="E142" s="63"/>
      <c r="F142" s="63"/>
      <c r="G142" s="63"/>
      <c r="H142" s="63"/>
      <c r="I142" s="63"/>
      <c r="J142" s="63"/>
      <c r="K142" s="63"/>
      <c r="L142" s="63"/>
      <c r="M142" s="64"/>
      <c r="N142" s="50"/>
      <c r="O142" s="245"/>
      <c r="P142" s="245"/>
      <c r="Q142" s="245"/>
      <c r="R142" s="245"/>
      <c r="S142" s="245"/>
      <c r="T142" s="245"/>
      <c r="U142" s="245"/>
      <c r="V142" s="245"/>
      <c r="W142" s="245"/>
      <c r="X142" s="245"/>
      <c r="Y142" s="245"/>
      <c r="Z142" s="245"/>
      <c r="AA142" s="245"/>
      <c r="AB142" s="245"/>
      <c r="AC142" s="245"/>
      <c r="AD142" s="245"/>
      <c r="AE142" s="245"/>
      <c r="AF142" s="245"/>
      <c r="AG142" s="245"/>
      <c r="AH142" s="245"/>
      <c r="AI142" s="245"/>
      <c r="AJ142" s="245"/>
      <c r="AK142" s="245"/>
      <c r="AL142" s="245"/>
      <c r="AM142" s="245"/>
    </row>
    <row r="143" spans="1:39" ht="20.100000000000001" customHeight="1" x14ac:dyDescent="0.25">
      <c r="A143" s="65"/>
      <c r="B143" s="66"/>
      <c r="C143" s="54"/>
      <c r="D143" s="71"/>
      <c r="E143" s="63"/>
      <c r="F143" s="63"/>
      <c r="G143" s="63"/>
      <c r="H143" s="63"/>
      <c r="I143" s="63"/>
      <c r="J143" s="63"/>
      <c r="K143" s="63"/>
      <c r="L143" s="63"/>
      <c r="M143" s="64"/>
      <c r="N143" s="50"/>
      <c r="O143" s="245"/>
      <c r="P143" s="245"/>
      <c r="Q143" s="245"/>
      <c r="R143" s="245"/>
      <c r="S143" s="245"/>
      <c r="T143" s="245"/>
      <c r="U143" s="245"/>
      <c r="V143" s="245"/>
      <c r="W143" s="245"/>
      <c r="X143" s="245"/>
      <c r="Y143" s="245"/>
      <c r="Z143" s="245"/>
      <c r="AA143" s="245"/>
      <c r="AB143" s="245"/>
      <c r="AC143" s="245"/>
      <c r="AD143" s="245"/>
      <c r="AE143" s="245"/>
      <c r="AF143" s="245"/>
      <c r="AG143" s="245"/>
      <c r="AH143" s="245"/>
      <c r="AI143" s="245"/>
      <c r="AJ143" s="245"/>
      <c r="AK143" s="245"/>
      <c r="AL143" s="245"/>
      <c r="AM143" s="245"/>
    </row>
    <row r="144" spans="1:39" ht="20.100000000000001" customHeight="1" x14ac:dyDescent="0.25">
      <c r="A144" s="65"/>
      <c r="B144" s="66"/>
      <c r="C144" s="54"/>
      <c r="D144" s="71"/>
      <c r="E144" s="63"/>
      <c r="F144" s="63"/>
      <c r="G144" s="63"/>
      <c r="H144" s="63"/>
      <c r="I144" s="63"/>
      <c r="J144" s="63"/>
      <c r="K144" s="63"/>
      <c r="L144" s="63"/>
      <c r="M144" s="64"/>
      <c r="N144" s="50"/>
      <c r="O144" s="245"/>
      <c r="P144" s="245"/>
      <c r="Q144" s="245"/>
      <c r="R144" s="245"/>
      <c r="S144" s="245"/>
      <c r="T144" s="245"/>
      <c r="U144" s="245"/>
      <c r="V144" s="245"/>
      <c r="W144" s="245"/>
      <c r="X144" s="245"/>
      <c r="Y144" s="245"/>
      <c r="Z144" s="245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</row>
    <row r="145" spans="1:39" ht="20.100000000000001" customHeight="1" x14ac:dyDescent="0.25">
      <c r="A145" s="65"/>
      <c r="B145" s="66"/>
      <c r="C145" s="54"/>
      <c r="D145" s="71"/>
      <c r="E145" s="63"/>
      <c r="F145" s="63"/>
      <c r="G145" s="63"/>
      <c r="H145" s="63"/>
      <c r="I145" s="63"/>
      <c r="J145" s="63"/>
      <c r="K145" s="63"/>
      <c r="L145" s="63"/>
      <c r="M145" s="64"/>
      <c r="N145" s="50"/>
      <c r="O145" s="245"/>
      <c r="P145" s="245"/>
      <c r="Q145" s="245"/>
      <c r="R145" s="245"/>
      <c r="S145" s="245"/>
      <c r="T145" s="245"/>
      <c r="U145" s="245"/>
      <c r="V145" s="245"/>
      <c r="W145" s="245"/>
      <c r="X145" s="245"/>
      <c r="Y145" s="245"/>
      <c r="Z145" s="245"/>
      <c r="AA145" s="245"/>
      <c r="AB145" s="245"/>
      <c r="AC145" s="245"/>
      <c r="AD145" s="245"/>
      <c r="AE145" s="245"/>
      <c r="AF145" s="245"/>
      <c r="AG145" s="245"/>
      <c r="AH145" s="245"/>
      <c r="AI145" s="245"/>
      <c r="AJ145" s="245"/>
      <c r="AK145" s="245"/>
      <c r="AL145" s="245"/>
      <c r="AM145" s="245"/>
    </row>
    <row r="146" spans="1:39" ht="20.100000000000001" customHeight="1" x14ac:dyDescent="0.25">
      <c r="A146" s="65"/>
      <c r="B146" s="66"/>
      <c r="C146" s="54"/>
      <c r="D146" s="71"/>
      <c r="E146" s="63"/>
      <c r="F146" s="63"/>
      <c r="G146" s="63"/>
      <c r="H146" s="63"/>
      <c r="I146" s="63"/>
      <c r="J146" s="63"/>
      <c r="K146" s="63"/>
      <c r="L146" s="63"/>
      <c r="M146" s="64"/>
      <c r="N146" s="50"/>
      <c r="O146" s="245"/>
      <c r="P146" s="245"/>
      <c r="Q146" s="245"/>
      <c r="R146" s="245"/>
      <c r="S146" s="245"/>
      <c r="T146" s="245"/>
      <c r="U146" s="245"/>
      <c r="V146" s="245"/>
      <c r="W146" s="245"/>
      <c r="X146" s="245"/>
      <c r="Y146" s="245"/>
      <c r="Z146" s="245"/>
      <c r="AA146" s="245"/>
      <c r="AB146" s="245"/>
      <c r="AC146" s="245"/>
      <c r="AD146" s="245"/>
      <c r="AE146" s="245"/>
      <c r="AF146" s="245"/>
      <c r="AG146" s="245"/>
      <c r="AH146" s="245"/>
      <c r="AI146" s="245"/>
      <c r="AJ146" s="245"/>
      <c r="AK146" s="245"/>
      <c r="AL146" s="245"/>
      <c r="AM146" s="245"/>
    </row>
    <row r="147" spans="1:39" ht="20.100000000000001" customHeight="1" x14ac:dyDescent="0.25">
      <c r="A147" s="65"/>
      <c r="B147" s="66"/>
      <c r="C147" s="54"/>
      <c r="D147" s="71"/>
      <c r="E147" s="63"/>
      <c r="F147" s="63"/>
      <c r="G147" s="63"/>
      <c r="H147" s="63"/>
      <c r="I147" s="63"/>
      <c r="J147" s="63"/>
      <c r="K147" s="63"/>
      <c r="L147" s="63"/>
      <c r="M147" s="64"/>
      <c r="N147" s="50"/>
      <c r="O147" s="245"/>
      <c r="P147" s="245"/>
      <c r="Q147" s="245"/>
      <c r="R147" s="245"/>
      <c r="S147" s="245"/>
      <c r="T147" s="245"/>
      <c r="U147" s="245"/>
      <c r="V147" s="245"/>
      <c r="W147" s="245"/>
      <c r="X147" s="245"/>
      <c r="Y147" s="245"/>
      <c r="Z147" s="245"/>
      <c r="AA147" s="245"/>
      <c r="AB147" s="245"/>
      <c r="AC147" s="245"/>
      <c r="AD147" s="245"/>
      <c r="AE147" s="245"/>
      <c r="AF147" s="245"/>
      <c r="AG147" s="245"/>
      <c r="AH147" s="245"/>
      <c r="AI147" s="245"/>
      <c r="AJ147" s="245"/>
      <c r="AK147" s="245"/>
      <c r="AL147" s="245"/>
      <c r="AM147" s="245"/>
    </row>
    <row r="148" spans="1:39" ht="20.100000000000001" customHeight="1" x14ac:dyDescent="0.25">
      <c r="A148" s="65"/>
      <c r="B148" s="66"/>
      <c r="C148" s="54"/>
      <c r="D148" s="71"/>
      <c r="E148" s="63"/>
      <c r="F148" s="63"/>
      <c r="G148" s="63"/>
      <c r="H148" s="63"/>
      <c r="I148" s="63"/>
      <c r="J148" s="63"/>
      <c r="K148" s="63"/>
      <c r="L148" s="63"/>
      <c r="M148" s="64"/>
      <c r="N148" s="50"/>
      <c r="O148" s="245"/>
      <c r="P148" s="245"/>
      <c r="Q148" s="245"/>
      <c r="R148" s="245"/>
      <c r="S148" s="245"/>
      <c r="T148" s="245"/>
      <c r="U148" s="245"/>
      <c r="V148" s="245"/>
      <c r="W148" s="245"/>
      <c r="X148" s="245"/>
      <c r="Y148" s="245"/>
      <c r="Z148" s="245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  <c r="AL148" s="245"/>
      <c r="AM148" s="245"/>
    </row>
    <row r="149" spans="1:39" ht="20.100000000000001" customHeight="1" x14ac:dyDescent="0.25">
      <c r="A149" s="65"/>
      <c r="B149" s="66"/>
      <c r="C149" s="54"/>
      <c r="D149" s="71"/>
      <c r="E149" s="63"/>
      <c r="F149" s="63"/>
      <c r="G149" s="63"/>
      <c r="H149" s="63"/>
      <c r="I149" s="63"/>
      <c r="J149" s="63"/>
      <c r="K149" s="63"/>
      <c r="L149" s="63"/>
      <c r="M149" s="64"/>
      <c r="N149" s="50"/>
      <c r="O149" s="245"/>
      <c r="P149" s="245"/>
      <c r="Q149" s="245"/>
      <c r="R149" s="245"/>
      <c r="S149" s="245"/>
      <c r="T149" s="245"/>
      <c r="U149" s="245"/>
      <c r="V149" s="245"/>
      <c r="W149" s="245"/>
      <c r="X149" s="245"/>
      <c r="Y149" s="245"/>
      <c r="Z149" s="245"/>
      <c r="AA149" s="245"/>
      <c r="AB149" s="245"/>
      <c r="AC149" s="245"/>
      <c r="AD149" s="245"/>
      <c r="AE149" s="245"/>
      <c r="AF149" s="245"/>
      <c r="AG149" s="245"/>
      <c r="AH149" s="245"/>
      <c r="AI149" s="245"/>
      <c r="AJ149" s="245"/>
      <c r="AK149" s="245"/>
      <c r="AL149" s="245"/>
      <c r="AM149" s="245"/>
    </row>
    <row r="150" spans="1:39" ht="20.100000000000001" customHeight="1" x14ac:dyDescent="0.25">
      <c r="A150" s="65"/>
      <c r="B150" s="66"/>
      <c r="C150" s="54"/>
      <c r="D150" s="71"/>
      <c r="E150" s="63"/>
      <c r="F150" s="63"/>
      <c r="G150" s="63"/>
      <c r="H150" s="63"/>
      <c r="I150" s="63"/>
      <c r="J150" s="63"/>
      <c r="K150" s="63"/>
      <c r="L150" s="63"/>
      <c r="M150" s="64"/>
      <c r="N150" s="50"/>
      <c r="O150" s="245"/>
      <c r="P150" s="245"/>
      <c r="Q150" s="245"/>
      <c r="R150" s="245"/>
      <c r="S150" s="245"/>
      <c r="T150" s="245"/>
      <c r="U150" s="245"/>
      <c r="V150" s="245"/>
      <c r="W150" s="245"/>
      <c r="X150" s="245"/>
      <c r="Y150" s="245"/>
      <c r="Z150" s="245"/>
      <c r="AA150" s="245"/>
      <c r="AB150" s="245"/>
      <c r="AC150" s="245"/>
      <c r="AD150" s="245"/>
      <c r="AE150" s="245"/>
      <c r="AF150" s="245"/>
      <c r="AG150" s="245"/>
      <c r="AH150" s="245"/>
      <c r="AI150" s="245"/>
      <c r="AJ150" s="245"/>
      <c r="AK150" s="245"/>
      <c r="AL150" s="245"/>
      <c r="AM150" s="245"/>
    </row>
    <row r="151" spans="1:39" ht="20.100000000000001" customHeight="1" x14ac:dyDescent="0.25">
      <c r="A151" s="65"/>
      <c r="B151" s="66"/>
      <c r="C151" s="54"/>
      <c r="D151" s="71"/>
      <c r="E151" s="63"/>
      <c r="F151" s="63"/>
      <c r="G151" s="63"/>
      <c r="H151" s="63"/>
      <c r="I151" s="63"/>
      <c r="J151" s="63"/>
      <c r="K151" s="63"/>
      <c r="L151" s="63"/>
      <c r="M151" s="64"/>
      <c r="N151" s="50"/>
      <c r="O151" s="245"/>
      <c r="P151" s="245"/>
      <c r="Q151" s="245"/>
      <c r="R151" s="245"/>
      <c r="S151" s="245"/>
      <c r="T151" s="245"/>
      <c r="U151" s="245"/>
      <c r="V151" s="245"/>
      <c r="W151" s="245"/>
      <c r="X151" s="245"/>
      <c r="Y151" s="245"/>
      <c r="Z151" s="245"/>
      <c r="AA151" s="245"/>
      <c r="AB151" s="245"/>
      <c r="AC151" s="245"/>
      <c r="AD151" s="245"/>
      <c r="AE151" s="245"/>
      <c r="AF151" s="245"/>
      <c r="AG151" s="245"/>
      <c r="AH151" s="245"/>
      <c r="AI151" s="245"/>
      <c r="AJ151" s="245"/>
      <c r="AK151" s="245"/>
      <c r="AL151" s="245"/>
      <c r="AM151" s="245"/>
    </row>
    <row r="152" spans="1:39" ht="20.100000000000001" customHeight="1" x14ac:dyDescent="0.25">
      <c r="A152" s="65"/>
      <c r="B152" s="66"/>
      <c r="C152" s="54"/>
      <c r="D152" s="71"/>
      <c r="E152" s="63"/>
      <c r="F152" s="63"/>
      <c r="G152" s="63"/>
      <c r="H152" s="63"/>
      <c r="I152" s="63"/>
      <c r="J152" s="63"/>
      <c r="K152" s="63"/>
      <c r="L152" s="63"/>
      <c r="M152" s="64"/>
      <c r="N152" s="50"/>
      <c r="O152" s="245"/>
      <c r="P152" s="245"/>
      <c r="Q152" s="245"/>
      <c r="R152" s="245"/>
      <c r="S152" s="245"/>
      <c r="T152" s="245"/>
      <c r="U152" s="245"/>
      <c r="V152" s="245"/>
      <c r="W152" s="245"/>
      <c r="X152" s="245"/>
      <c r="Y152" s="245"/>
      <c r="Z152" s="245"/>
      <c r="AA152" s="245"/>
      <c r="AB152" s="245"/>
      <c r="AC152" s="245"/>
      <c r="AD152" s="245"/>
      <c r="AE152" s="245"/>
      <c r="AF152" s="245"/>
      <c r="AG152" s="245"/>
      <c r="AH152" s="245"/>
      <c r="AI152" s="245"/>
      <c r="AJ152" s="245"/>
      <c r="AK152" s="245"/>
      <c r="AL152" s="245"/>
      <c r="AM152" s="245"/>
    </row>
    <row r="153" spans="1:39" ht="20.100000000000001" customHeight="1" x14ac:dyDescent="0.25">
      <c r="A153" s="65"/>
      <c r="B153" s="66"/>
      <c r="C153" s="54"/>
      <c r="D153" s="71"/>
      <c r="E153" s="63"/>
      <c r="F153" s="63"/>
      <c r="G153" s="63"/>
      <c r="H153" s="63"/>
      <c r="I153" s="63"/>
      <c r="J153" s="63"/>
      <c r="K153" s="63"/>
      <c r="L153" s="63"/>
      <c r="M153" s="64"/>
      <c r="N153" s="50"/>
      <c r="O153" s="245"/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</row>
    <row r="154" spans="1:39" ht="20.100000000000001" customHeight="1" x14ac:dyDescent="0.25">
      <c r="A154" s="65"/>
      <c r="B154" s="66"/>
      <c r="C154" s="54"/>
      <c r="D154" s="71"/>
      <c r="E154" s="63"/>
      <c r="F154" s="63"/>
      <c r="G154" s="63"/>
      <c r="H154" s="63"/>
      <c r="I154" s="63"/>
      <c r="J154" s="63"/>
      <c r="K154" s="63"/>
      <c r="L154" s="63"/>
      <c r="M154" s="64"/>
      <c r="N154" s="50"/>
      <c r="O154" s="245"/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</row>
    <row r="155" spans="1:39" ht="20.100000000000001" customHeight="1" x14ac:dyDescent="0.25">
      <c r="A155" s="65"/>
      <c r="B155" s="66"/>
      <c r="C155" s="54"/>
      <c r="D155" s="71"/>
      <c r="E155" s="63"/>
      <c r="F155" s="63"/>
      <c r="G155" s="63"/>
      <c r="H155" s="63"/>
      <c r="I155" s="63"/>
      <c r="J155" s="63"/>
      <c r="K155" s="63"/>
      <c r="L155" s="63"/>
      <c r="M155" s="64"/>
      <c r="N155" s="50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</row>
    <row r="156" spans="1:39" ht="20.100000000000001" customHeight="1" x14ac:dyDescent="0.25">
      <c r="A156" s="65"/>
      <c r="B156" s="66"/>
      <c r="C156" s="54"/>
      <c r="D156" s="71"/>
      <c r="E156" s="63"/>
      <c r="F156" s="63"/>
      <c r="G156" s="63"/>
      <c r="H156" s="63"/>
      <c r="I156" s="63"/>
      <c r="J156" s="63"/>
      <c r="K156" s="63"/>
      <c r="L156" s="63"/>
      <c r="M156" s="64"/>
      <c r="N156" s="50"/>
      <c r="O156" s="245"/>
      <c r="P156" s="245"/>
      <c r="Q156" s="245"/>
      <c r="R156" s="245"/>
      <c r="S156" s="245"/>
      <c r="T156" s="245"/>
      <c r="U156" s="245"/>
      <c r="V156" s="245"/>
      <c r="W156" s="245"/>
      <c r="X156" s="245"/>
      <c r="Y156" s="245"/>
      <c r="Z156" s="245"/>
      <c r="AA156" s="245"/>
      <c r="AB156" s="245"/>
      <c r="AC156" s="245"/>
      <c r="AD156" s="245"/>
      <c r="AE156" s="245"/>
      <c r="AF156" s="245"/>
      <c r="AG156" s="245"/>
      <c r="AH156" s="245"/>
      <c r="AI156" s="245"/>
      <c r="AJ156" s="245"/>
      <c r="AK156" s="245"/>
      <c r="AL156" s="245"/>
      <c r="AM156" s="245"/>
    </row>
    <row r="157" spans="1:39" ht="20.100000000000001" customHeight="1" x14ac:dyDescent="0.25">
      <c r="A157" s="65"/>
      <c r="B157" s="66"/>
      <c r="C157" s="54"/>
      <c r="D157" s="71"/>
      <c r="E157" s="63"/>
      <c r="F157" s="63"/>
      <c r="G157" s="63"/>
      <c r="H157" s="63"/>
      <c r="I157" s="63"/>
      <c r="J157" s="63"/>
      <c r="K157" s="63"/>
      <c r="L157" s="63"/>
      <c r="M157" s="64"/>
      <c r="N157" s="50"/>
      <c r="O157" s="245"/>
      <c r="P157" s="245"/>
      <c r="Q157" s="245"/>
      <c r="R157" s="245"/>
      <c r="S157" s="245"/>
      <c r="T157" s="245"/>
      <c r="U157" s="245"/>
      <c r="V157" s="245"/>
      <c r="W157" s="245"/>
      <c r="X157" s="245"/>
      <c r="Y157" s="245"/>
      <c r="Z157" s="245"/>
      <c r="AA157" s="245"/>
      <c r="AB157" s="245"/>
      <c r="AC157" s="245"/>
      <c r="AD157" s="245"/>
      <c r="AE157" s="245"/>
      <c r="AF157" s="245"/>
      <c r="AG157" s="245"/>
      <c r="AH157" s="245"/>
      <c r="AI157" s="245"/>
      <c r="AJ157" s="245"/>
      <c r="AK157" s="245"/>
      <c r="AL157" s="245"/>
      <c r="AM157" s="245"/>
    </row>
    <row r="158" spans="1:39" ht="20.100000000000001" customHeight="1" x14ac:dyDescent="0.25">
      <c r="A158" s="65"/>
      <c r="B158" s="66"/>
      <c r="C158" s="54"/>
      <c r="D158" s="71"/>
      <c r="E158" s="63"/>
      <c r="F158" s="63"/>
      <c r="G158" s="63"/>
      <c r="H158" s="63"/>
      <c r="I158" s="63"/>
      <c r="J158" s="63"/>
      <c r="K158" s="63"/>
      <c r="L158" s="63"/>
      <c r="M158" s="64"/>
      <c r="N158" s="50"/>
      <c r="O158" s="245"/>
      <c r="P158" s="245"/>
      <c r="Q158" s="245"/>
      <c r="R158" s="245"/>
      <c r="S158" s="245"/>
      <c r="T158" s="245"/>
      <c r="U158" s="245"/>
      <c r="V158" s="245"/>
      <c r="W158" s="245"/>
      <c r="X158" s="245"/>
      <c r="Y158" s="245"/>
      <c r="Z158" s="245"/>
      <c r="AA158" s="245"/>
      <c r="AB158" s="245"/>
      <c r="AC158" s="245"/>
      <c r="AD158" s="245"/>
      <c r="AE158" s="245"/>
      <c r="AF158" s="245"/>
      <c r="AG158" s="245"/>
      <c r="AH158" s="245"/>
      <c r="AI158" s="245"/>
      <c r="AJ158" s="245"/>
      <c r="AK158" s="245"/>
      <c r="AL158" s="245"/>
      <c r="AM158" s="245"/>
    </row>
    <row r="159" spans="1:39" ht="20.100000000000001" customHeight="1" x14ac:dyDescent="0.25">
      <c r="A159" s="65"/>
      <c r="B159" s="66"/>
      <c r="C159" s="54"/>
      <c r="D159" s="71"/>
      <c r="E159" s="63"/>
      <c r="F159" s="63"/>
      <c r="G159" s="63"/>
      <c r="H159" s="63"/>
      <c r="I159" s="63"/>
      <c r="J159" s="63"/>
      <c r="K159" s="63"/>
      <c r="L159" s="63"/>
      <c r="M159" s="64"/>
      <c r="N159" s="50"/>
      <c r="O159" s="245"/>
      <c r="P159" s="245"/>
      <c r="Q159" s="245"/>
      <c r="R159" s="245"/>
      <c r="S159" s="245"/>
      <c r="T159" s="245"/>
      <c r="U159" s="245"/>
      <c r="V159" s="245"/>
      <c r="W159" s="245"/>
      <c r="X159" s="245"/>
      <c r="Y159" s="245"/>
      <c r="Z159" s="245"/>
      <c r="AA159" s="245"/>
      <c r="AB159" s="245"/>
      <c r="AC159" s="245"/>
      <c r="AD159" s="245"/>
      <c r="AE159" s="245"/>
      <c r="AF159" s="245"/>
      <c r="AG159" s="245"/>
      <c r="AH159" s="245"/>
      <c r="AI159" s="245"/>
      <c r="AJ159" s="245"/>
      <c r="AK159" s="245"/>
      <c r="AL159" s="245"/>
      <c r="AM159" s="245"/>
    </row>
    <row r="160" spans="1:39" ht="20.100000000000001" customHeight="1" x14ac:dyDescent="0.25">
      <c r="A160" s="65"/>
      <c r="B160" s="66"/>
      <c r="C160" s="54"/>
      <c r="D160" s="71"/>
      <c r="E160" s="63"/>
      <c r="F160" s="63"/>
      <c r="G160" s="63"/>
      <c r="H160" s="63"/>
      <c r="I160" s="63"/>
      <c r="J160" s="63"/>
      <c r="K160" s="63"/>
      <c r="L160" s="63"/>
      <c r="M160" s="64"/>
      <c r="N160" s="50"/>
      <c r="O160" s="245"/>
      <c r="P160" s="245"/>
      <c r="Q160" s="245"/>
      <c r="R160" s="245"/>
      <c r="S160" s="245"/>
      <c r="T160" s="245"/>
      <c r="U160" s="245"/>
      <c r="V160" s="245"/>
      <c r="W160" s="245"/>
      <c r="X160" s="245"/>
      <c r="Y160" s="245"/>
      <c r="Z160" s="245"/>
      <c r="AA160" s="245"/>
      <c r="AB160" s="245"/>
      <c r="AC160" s="245"/>
      <c r="AD160" s="245"/>
      <c r="AE160" s="245"/>
      <c r="AF160" s="245"/>
      <c r="AG160" s="245"/>
      <c r="AH160" s="245"/>
      <c r="AI160" s="245"/>
      <c r="AJ160" s="245"/>
      <c r="AK160" s="245"/>
      <c r="AL160" s="245"/>
      <c r="AM160" s="245"/>
    </row>
    <row r="161" spans="1:39" ht="20.100000000000001" customHeight="1" x14ac:dyDescent="0.25">
      <c r="A161" s="65"/>
      <c r="B161" s="66"/>
      <c r="C161" s="54"/>
      <c r="D161" s="71"/>
      <c r="E161" s="63"/>
      <c r="F161" s="63"/>
      <c r="G161" s="63"/>
      <c r="H161" s="63"/>
      <c r="I161" s="63"/>
      <c r="J161" s="63"/>
      <c r="K161" s="63"/>
      <c r="L161" s="63"/>
      <c r="M161" s="64"/>
      <c r="N161" s="50"/>
      <c r="O161" s="245"/>
      <c r="P161" s="245"/>
      <c r="Q161" s="245"/>
      <c r="R161" s="245"/>
      <c r="S161" s="245"/>
      <c r="T161" s="245"/>
      <c r="U161" s="245"/>
      <c r="V161" s="245"/>
      <c r="W161" s="245"/>
      <c r="X161" s="245"/>
      <c r="Y161" s="245"/>
      <c r="Z161" s="245"/>
      <c r="AA161" s="245"/>
      <c r="AB161" s="245"/>
      <c r="AC161" s="245"/>
      <c r="AD161" s="245"/>
      <c r="AE161" s="245"/>
      <c r="AF161" s="245"/>
      <c r="AG161" s="245"/>
      <c r="AH161" s="245"/>
      <c r="AI161" s="245"/>
      <c r="AJ161" s="245"/>
      <c r="AK161" s="245"/>
      <c r="AL161" s="245"/>
      <c r="AM161" s="245"/>
    </row>
    <row r="162" spans="1:39" ht="20.100000000000001" customHeight="1" x14ac:dyDescent="0.25">
      <c r="A162" s="65"/>
      <c r="B162" s="66"/>
      <c r="C162" s="54"/>
      <c r="D162" s="71"/>
      <c r="E162" s="63"/>
      <c r="F162" s="63"/>
      <c r="G162" s="63"/>
      <c r="H162" s="63"/>
      <c r="I162" s="63"/>
      <c r="J162" s="63"/>
      <c r="K162" s="63"/>
      <c r="L162" s="63"/>
      <c r="M162" s="64"/>
      <c r="N162" s="50"/>
      <c r="O162" s="245"/>
      <c r="P162" s="245"/>
      <c r="Q162" s="245"/>
      <c r="R162" s="245"/>
      <c r="S162" s="245"/>
      <c r="T162" s="245"/>
      <c r="U162" s="245"/>
      <c r="V162" s="245"/>
      <c r="W162" s="245"/>
      <c r="X162" s="245"/>
      <c r="Y162" s="245"/>
      <c r="Z162" s="245"/>
      <c r="AA162" s="245"/>
      <c r="AB162" s="245"/>
      <c r="AC162" s="245"/>
      <c r="AD162" s="245"/>
      <c r="AE162" s="245"/>
      <c r="AF162" s="245"/>
      <c r="AG162" s="245"/>
      <c r="AH162" s="245"/>
      <c r="AI162" s="245"/>
      <c r="AJ162" s="245"/>
      <c r="AK162" s="245"/>
      <c r="AL162" s="245"/>
      <c r="AM162" s="245"/>
    </row>
    <row r="163" spans="1:39" ht="20.100000000000001" customHeight="1" x14ac:dyDescent="0.25">
      <c r="A163" s="65"/>
      <c r="B163" s="66"/>
      <c r="C163" s="54"/>
      <c r="D163" s="71"/>
      <c r="E163" s="63"/>
      <c r="F163" s="63"/>
      <c r="G163" s="63"/>
      <c r="H163" s="63"/>
      <c r="I163" s="63"/>
      <c r="J163" s="63"/>
      <c r="K163" s="63"/>
      <c r="L163" s="63"/>
      <c r="M163" s="64"/>
      <c r="N163" s="50"/>
      <c r="O163" s="245"/>
      <c r="P163" s="245"/>
      <c r="Q163" s="245"/>
      <c r="R163" s="245"/>
      <c r="S163" s="245"/>
      <c r="T163" s="245"/>
      <c r="U163" s="245"/>
      <c r="V163" s="245"/>
      <c r="W163" s="245"/>
      <c r="X163" s="245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5"/>
      <c r="AL163" s="245"/>
      <c r="AM163" s="245"/>
    </row>
    <row r="164" spans="1:39" ht="20.100000000000001" customHeight="1" x14ac:dyDescent="0.25">
      <c r="A164" s="65"/>
      <c r="B164" s="66"/>
      <c r="C164" s="54"/>
      <c r="D164" s="71"/>
      <c r="E164" s="63"/>
      <c r="F164" s="63"/>
      <c r="G164" s="63"/>
      <c r="H164" s="63"/>
      <c r="I164" s="63"/>
      <c r="J164" s="63"/>
      <c r="K164" s="63"/>
      <c r="L164" s="63"/>
      <c r="M164" s="64"/>
      <c r="N164" s="50"/>
      <c r="O164" s="245"/>
      <c r="P164" s="245"/>
      <c r="Q164" s="245"/>
      <c r="R164" s="245"/>
      <c r="S164" s="245"/>
      <c r="T164" s="245"/>
      <c r="U164" s="245"/>
      <c r="V164" s="245"/>
      <c r="W164" s="245"/>
      <c r="X164" s="245"/>
      <c r="Y164" s="245"/>
      <c r="Z164" s="245"/>
      <c r="AA164" s="245"/>
      <c r="AB164" s="245"/>
      <c r="AC164" s="245"/>
      <c r="AD164" s="245"/>
      <c r="AE164" s="245"/>
      <c r="AF164" s="245"/>
      <c r="AG164" s="245"/>
      <c r="AH164" s="245"/>
      <c r="AI164" s="245"/>
      <c r="AJ164" s="245"/>
      <c r="AK164" s="245"/>
      <c r="AL164" s="245"/>
      <c r="AM164" s="245"/>
    </row>
    <row r="165" spans="1:39" ht="20.100000000000001" customHeight="1" x14ac:dyDescent="0.25">
      <c r="A165" s="65"/>
      <c r="B165" s="66"/>
      <c r="C165" s="54"/>
      <c r="D165" s="71"/>
      <c r="E165" s="63"/>
      <c r="F165" s="63"/>
      <c r="G165" s="63"/>
      <c r="H165" s="63"/>
      <c r="I165" s="63"/>
      <c r="J165" s="63"/>
      <c r="K165" s="63"/>
      <c r="L165" s="63"/>
      <c r="M165" s="64"/>
      <c r="N165" s="50"/>
      <c r="O165" s="245"/>
      <c r="P165" s="245"/>
      <c r="Q165" s="245"/>
      <c r="R165" s="245"/>
      <c r="S165" s="245"/>
      <c r="T165" s="245"/>
      <c r="U165" s="245"/>
      <c r="V165" s="245"/>
      <c r="W165" s="245"/>
      <c r="X165" s="245"/>
      <c r="Y165" s="245"/>
      <c r="Z165" s="245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45"/>
      <c r="AM165" s="245"/>
    </row>
    <row r="166" spans="1:39" ht="20.100000000000001" customHeight="1" x14ac:dyDescent="0.25">
      <c r="A166" s="65"/>
      <c r="B166" s="66"/>
      <c r="C166" s="54"/>
      <c r="D166" s="71"/>
      <c r="E166" s="63"/>
      <c r="F166" s="63"/>
      <c r="G166" s="63"/>
      <c r="H166" s="63"/>
      <c r="I166" s="63"/>
      <c r="J166" s="63"/>
      <c r="K166" s="63"/>
      <c r="L166" s="63"/>
      <c r="M166" s="64"/>
      <c r="N166" s="50"/>
      <c r="O166" s="245"/>
      <c r="P166" s="245"/>
      <c r="Q166" s="245"/>
      <c r="R166" s="245"/>
      <c r="S166" s="245"/>
      <c r="T166" s="245"/>
      <c r="U166" s="245"/>
      <c r="V166" s="245"/>
      <c r="W166" s="245"/>
      <c r="X166" s="245"/>
      <c r="Y166" s="245"/>
      <c r="Z166" s="245"/>
      <c r="AA166" s="245"/>
      <c r="AB166" s="245"/>
      <c r="AC166" s="245"/>
      <c r="AD166" s="245"/>
      <c r="AE166" s="245"/>
      <c r="AF166" s="245"/>
      <c r="AG166" s="245"/>
      <c r="AH166" s="245"/>
      <c r="AI166" s="245"/>
      <c r="AJ166" s="245"/>
      <c r="AK166" s="245"/>
      <c r="AL166" s="245"/>
      <c r="AM166" s="245"/>
    </row>
    <row r="167" spans="1:39" ht="20.100000000000001" customHeight="1" x14ac:dyDescent="0.25">
      <c r="A167" s="65"/>
      <c r="B167" s="66"/>
      <c r="C167" s="54"/>
      <c r="D167" s="71"/>
      <c r="E167" s="63"/>
      <c r="F167" s="63"/>
      <c r="G167" s="63"/>
      <c r="H167" s="63"/>
      <c r="I167" s="63"/>
      <c r="J167" s="63"/>
      <c r="K167" s="63"/>
      <c r="L167" s="63"/>
      <c r="M167" s="64"/>
      <c r="N167" s="50"/>
      <c r="O167" s="245"/>
      <c r="P167" s="245"/>
      <c r="Q167" s="245"/>
      <c r="R167" s="245"/>
      <c r="S167" s="245"/>
      <c r="T167" s="245"/>
      <c r="U167" s="245"/>
      <c r="V167" s="245"/>
      <c r="W167" s="245"/>
      <c r="X167" s="245"/>
      <c r="Y167" s="245"/>
      <c r="Z167" s="245"/>
      <c r="AA167" s="245"/>
      <c r="AB167" s="245"/>
      <c r="AC167" s="245"/>
      <c r="AD167" s="245"/>
      <c r="AE167" s="245"/>
      <c r="AF167" s="245"/>
      <c r="AG167" s="245"/>
      <c r="AH167" s="245"/>
      <c r="AI167" s="245"/>
      <c r="AJ167" s="245"/>
      <c r="AK167" s="245"/>
      <c r="AL167" s="245"/>
      <c r="AM167" s="245"/>
    </row>
    <row r="168" spans="1:39" ht="20.100000000000001" customHeight="1" x14ac:dyDescent="0.25">
      <c r="A168" s="65"/>
      <c r="B168" s="66"/>
      <c r="C168" s="54"/>
      <c r="D168" s="71"/>
      <c r="E168" s="63"/>
      <c r="F168" s="63"/>
      <c r="G168" s="63"/>
      <c r="H168" s="63"/>
      <c r="I168" s="63"/>
      <c r="J168" s="63"/>
      <c r="K168" s="63"/>
      <c r="L168" s="63"/>
      <c r="M168" s="64"/>
      <c r="N168" s="50"/>
      <c r="O168" s="245"/>
      <c r="P168" s="245"/>
      <c r="Q168" s="245"/>
      <c r="R168" s="245"/>
      <c r="S168" s="245"/>
      <c r="T168" s="245"/>
      <c r="U168" s="245"/>
      <c r="V168" s="245"/>
      <c r="W168" s="245"/>
      <c r="X168" s="245"/>
      <c r="Y168" s="245"/>
      <c r="Z168" s="245"/>
      <c r="AA168" s="245"/>
      <c r="AB168" s="245"/>
      <c r="AC168" s="245"/>
      <c r="AD168" s="245"/>
      <c r="AE168" s="245"/>
      <c r="AF168" s="245"/>
      <c r="AG168" s="245"/>
      <c r="AH168" s="245"/>
      <c r="AI168" s="245"/>
      <c r="AJ168" s="245"/>
      <c r="AK168" s="245"/>
      <c r="AL168" s="245"/>
      <c r="AM168" s="245"/>
    </row>
    <row r="169" spans="1:39" ht="20.100000000000001" customHeight="1" x14ac:dyDescent="0.25">
      <c r="A169" s="65"/>
      <c r="B169" s="66"/>
      <c r="C169" s="54"/>
      <c r="D169" s="71"/>
      <c r="E169" s="63"/>
      <c r="F169" s="63"/>
      <c r="G169" s="63"/>
      <c r="H169" s="63"/>
      <c r="I169" s="63"/>
      <c r="J169" s="63"/>
      <c r="K169" s="63"/>
      <c r="L169" s="63"/>
      <c r="M169" s="64"/>
      <c r="N169" s="50"/>
      <c r="O169" s="245"/>
      <c r="P169" s="245"/>
      <c r="Q169" s="245"/>
      <c r="R169" s="245"/>
      <c r="S169" s="245"/>
      <c r="T169" s="245"/>
      <c r="U169" s="245"/>
      <c r="V169" s="245"/>
      <c r="W169" s="245"/>
      <c r="X169" s="245"/>
      <c r="Y169" s="245"/>
      <c r="Z169" s="245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  <c r="AL169" s="245"/>
      <c r="AM169" s="245"/>
    </row>
    <row r="170" spans="1:39" ht="20.100000000000001" customHeight="1" x14ac:dyDescent="0.25">
      <c r="A170" s="65"/>
      <c r="B170" s="66"/>
      <c r="C170" s="54"/>
      <c r="D170" s="71"/>
      <c r="E170" s="63"/>
      <c r="F170" s="63"/>
      <c r="G170" s="63"/>
      <c r="H170" s="63"/>
      <c r="I170" s="63"/>
      <c r="J170" s="63"/>
      <c r="K170" s="63"/>
      <c r="L170" s="63"/>
      <c r="M170" s="64"/>
      <c r="N170" s="50"/>
      <c r="O170" s="245"/>
      <c r="P170" s="245"/>
      <c r="Q170" s="245"/>
      <c r="R170" s="245"/>
      <c r="S170" s="245"/>
      <c r="T170" s="245"/>
      <c r="U170" s="245"/>
      <c r="V170" s="245"/>
      <c r="W170" s="245"/>
      <c r="X170" s="245"/>
      <c r="Y170" s="245"/>
      <c r="Z170" s="245"/>
      <c r="AA170" s="245"/>
      <c r="AB170" s="245"/>
      <c r="AC170" s="245"/>
      <c r="AD170" s="245"/>
      <c r="AE170" s="245"/>
      <c r="AF170" s="245"/>
      <c r="AG170" s="245"/>
      <c r="AH170" s="245"/>
      <c r="AI170" s="245"/>
      <c r="AJ170" s="245"/>
      <c r="AK170" s="245"/>
      <c r="AL170" s="245"/>
      <c r="AM170" s="245"/>
    </row>
    <row r="171" spans="1:39" ht="20.100000000000001" customHeight="1" x14ac:dyDescent="0.25">
      <c r="A171" s="65"/>
      <c r="B171" s="66"/>
      <c r="C171" s="54"/>
      <c r="D171" s="71"/>
      <c r="E171" s="63"/>
      <c r="F171" s="63"/>
      <c r="G171" s="63"/>
      <c r="H171" s="63"/>
      <c r="I171" s="63"/>
      <c r="J171" s="63"/>
      <c r="K171" s="63"/>
      <c r="L171" s="63"/>
      <c r="M171" s="64"/>
      <c r="N171" s="50"/>
      <c r="O171" s="245"/>
      <c r="P171" s="245"/>
      <c r="Q171" s="245"/>
      <c r="R171" s="245"/>
      <c r="S171" s="245"/>
      <c r="T171" s="245"/>
      <c r="U171" s="245"/>
      <c r="V171" s="245"/>
      <c r="W171" s="245"/>
      <c r="X171" s="245"/>
      <c r="Y171" s="245"/>
      <c r="Z171" s="245"/>
      <c r="AA171" s="245"/>
      <c r="AB171" s="245"/>
      <c r="AC171" s="245"/>
      <c r="AD171" s="245"/>
      <c r="AE171" s="245"/>
      <c r="AF171" s="245"/>
      <c r="AG171" s="245"/>
      <c r="AH171" s="245"/>
      <c r="AI171" s="245"/>
      <c r="AJ171" s="245"/>
      <c r="AK171" s="245"/>
      <c r="AL171" s="245"/>
      <c r="AM171" s="245"/>
    </row>
    <row r="172" spans="1:39" ht="20.100000000000001" customHeight="1" x14ac:dyDescent="0.25">
      <c r="A172" s="65"/>
      <c r="B172" s="66"/>
      <c r="C172" s="54"/>
      <c r="D172" s="71"/>
      <c r="E172" s="63"/>
      <c r="F172" s="63"/>
      <c r="G172" s="63"/>
      <c r="H172" s="63"/>
      <c r="I172" s="63"/>
      <c r="J172" s="63"/>
      <c r="K172" s="63"/>
      <c r="L172" s="63"/>
      <c r="M172" s="64"/>
      <c r="N172" s="50"/>
      <c r="O172" s="245"/>
      <c r="P172" s="245"/>
      <c r="Q172" s="245"/>
      <c r="R172" s="245"/>
      <c r="S172" s="245"/>
      <c r="T172" s="245"/>
      <c r="U172" s="245"/>
      <c r="V172" s="245"/>
      <c r="W172" s="245"/>
      <c r="X172" s="245"/>
      <c r="Y172" s="245"/>
      <c r="Z172" s="245"/>
      <c r="AA172" s="245"/>
      <c r="AB172" s="245"/>
      <c r="AC172" s="245"/>
      <c r="AD172" s="245"/>
      <c r="AE172" s="245"/>
      <c r="AF172" s="245"/>
      <c r="AG172" s="245"/>
      <c r="AH172" s="245"/>
      <c r="AI172" s="245"/>
      <c r="AJ172" s="245"/>
      <c r="AK172" s="245"/>
      <c r="AL172" s="245"/>
      <c r="AM172" s="245"/>
    </row>
    <row r="173" spans="1:39" ht="20.100000000000001" customHeight="1" x14ac:dyDescent="0.25">
      <c r="A173" s="65"/>
      <c r="B173" s="66"/>
      <c r="C173" s="54"/>
      <c r="D173" s="71"/>
      <c r="E173" s="63"/>
      <c r="F173" s="63"/>
      <c r="G173" s="63"/>
      <c r="H173" s="63"/>
      <c r="I173" s="63"/>
      <c r="J173" s="63"/>
      <c r="K173" s="63"/>
      <c r="L173" s="63"/>
      <c r="M173" s="64"/>
      <c r="N173" s="50"/>
      <c r="O173" s="245"/>
      <c r="P173" s="245"/>
      <c r="Q173" s="245"/>
      <c r="R173" s="245"/>
      <c r="S173" s="245"/>
      <c r="T173" s="245"/>
      <c r="U173" s="245"/>
      <c r="V173" s="245"/>
      <c r="W173" s="245"/>
      <c r="X173" s="245"/>
      <c r="Y173" s="245"/>
      <c r="Z173" s="245"/>
      <c r="AA173" s="245"/>
      <c r="AB173" s="245"/>
      <c r="AC173" s="245"/>
      <c r="AD173" s="245"/>
      <c r="AE173" s="245"/>
      <c r="AF173" s="245"/>
      <c r="AG173" s="245"/>
      <c r="AH173" s="245"/>
      <c r="AI173" s="245"/>
      <c r="AJ173" s="245"/>
      <c r="AK173" s="245"/>
      <c r="AL173" s="245"/>
      <c r="AM173" s="245"/>
    </row>
    <row r="174" spans="1:39" ht="20.100000000000001" customHeight="1" x14ac:dyDescent="0.25">
      <c r="A174" s="65"/>
      <c r="B174" s="66"/>
      <c r="C174" s="54"/>
      <c r="D174" s="71"/>
      <c r="E174" s="63"/>
      <c r="F174" s="63"/>
      <c r="G174" s="63"/>
      <c r="H174" s="63"/>
      <c r="I174" s="63"/>
      <c r="J174" s="63"/>
      <c r="K174" s="63"/>
      <c r="L174" s="63"/>
      <c r="M174" s="64"/>
      <c r="N174" s="50"/>
      <c r="O174" s="245"/>
      <c r="P174" s="245"/>
      <c r="Q174" s="245"/>
      <c r="R174" s="245"/>
      <c r="S174" s="245"/>
      <c r="T174" s="245"/>
      <c r="U174" s="245"/>
      <c r="V174" s="245"/>
      <c r="W174" s="245"/>
      <c r="X174" s="245"/>
      <c r="Y174" s="245"/>
      <c r="Z174" s="245"/>
      <c r="AA174" s="245"/>
      <c r="AB174" s="245"/>
      <c r="AC174" s="245"/>
      <c r="AD174" s="245"/>
      <c r="AE174" s="245"/>
      <c r="AF174" s="245"/>
      <c r="AG174" s="245"/>
      <c r="AH174" s="245"/>
      <c r="AI174" s="245"/>
      <c r="AJ174" s="245"/>
      <c r="AK174" s="245"/>
      <c r="AL174" s="245"/>
      <c r="AM174" s="245"/>
    </row>
    <row r="175" spans="1:39" ht="20.100000000000001" customHeight="1" x14ac:dyDescent="0.25">
      <c r="A175" s="65"/>
      <c r="B175" s="66"/>
      <c r="C175" s="54"/>
      <c r="D175" s="71"/>
      <c r="E175" s="63"/>
      <c r="F175" s="63"/>
      <c r="G175" s="63"/>
      <c r="H175" s="63"/>
      <c r="I175" s="63"/>
      <c r="J175" s="63"/>
      <c r="K175" s="63"/>
      <c r="L175" s="63"/>
      <c r="M175" s="64"/>
      <c r="N175" s="50"/>
      <c r="O175" s="245"/>
      <c r="P175" s="245"/>
      <c r="Q175" s="245"/>
      <c r="R175" s="245"/>
      <c r="S175" s="245"/>
      <c r="T175" s="245"/>
      <c r="U175" s="245"/>
      <c r="V175" s="245"/>
      <c r="W175" s="245"/>
      <c r="X175" s="245"/>
      <c r="Y175" s="245"/>
      <c r="Z175" s="245"/>
      <c r="AA175" s="245"/>
      <c r="AB175" s="245"/>
      <c r="AC175" s="245"/>
      <c r="AD175" s="245"/>
      <c r="AE175" s="245"/>
      <c r="AF175" s="245"/>
      <c r="AG175" s="245"/>
      <c r="AH175" s="245"/>
      <c r="AI175" s="245"/>
      <c r="AJ175" s="245"/>
      <c r="AK175" s="245"/>
      <c r="AL175" s="245"/>
      <c r="AM175" s="245"/>
    </row>
    <row r="176" spans="1:39" ht="20.100000000000001" customHeight="1" x14ac:dyDescent="0.25">
      <c r="A176" s="65"/>
      <c r="B176" s="66"/>
      <c r="C176" s="54"/>
      <c r="D176" s="71"/>
      <c r="E176" s="63"/>
      <c r="F176" s="63"/>
      <c r="G176" s="63"/>
      <c r="H176" s="63"/>
      <c r="I176" s="63"/>
      <c r="J176" s="63"/>
      <c r="K176" s="63"/>
      <c r="L176" s="63"/>
      <c r="M176" s="64"/>
      <c r="N176" s="50"/>
      <c r="O176" s="245"/>
      <c r="P176" s="245"/>
      <c r="Q176" s="245"/>
      <c r="R176" s="245"/>
      <c r="S176" s="245"/>
      <c r="T176" s="245"/>
      <c r="U176" s="245"/>
      <c r="V176" s="245"/>
      <c r="W176" s="245"/>
      <c r="X176" s="245"/>
      <c r="Y176" s="245"/>
      <c r="Z176" s="245"/>
      <c r="AA176" s="245"/>
      <c r="AB176" s="245"/>
      <c r="AC176" s="245"/>
      <c r="AD176" s="245"/>
      <c r="AE176" s="245"/>
      <c r="AF176" s="245"/>
      <c r="AG176" s="245"/>
      <c r="AH176" s="245"/>
      <c r="AI176" s="245"/>
      <c r="AJ176" s="245"/>
      <c r="AK176" s="245"/>
      <c r="AL176" s="245"/>
      <c r="AM176" s="245"/>
    </row>
    <row r="177" spans="1:39" ht="20.100000000000001" customHeight="1" x14ac:dyDescent="0.25">
      <c r="A177" s="65"/>
      <c r="B177" s="66"/>
      <c r="C177" s="54"/>
      <c r="D177" s="71"/>
      <c r="E177" s="63"/>
      <c r="F177" s="63"/>
      <c r="G177" s="63"/>
      <c r="H177" s="63"/>
      <c r="I177" s="63"/>
      <c r="J177" s="63"/>
      <c r="K177" s="63"/>
      <c r="L177" s="63"/>
      <c r="M177" s="64"/>
      <c r="N177" s="50"/>
      <c r="O177" s="245"/>
      <c r="P177" s="245"/>
      <c r="Q177" s="245"/>
      <c r="R177" s="245"/>
      <c r="S177" s="245"/>
      <c r="T177" s="245"/>
      <c r="U177" s="245"/>
      <c r="V177" s="245"/>
      <c r="W177" s="245"/>
      <c r="X177" s="245"/>
      <c r="Y177" s="245"/>
      <c r="Z177" s="245"/>
      <c r="AA177" s="245"/>
      <c r="AB177" s="245"/>
      <c r="AC177" s="245"/>
      <c r="AD177" s="245"/>
      <c r="AE177" s="245"/>
      <c r="AF177" s="245"/>
      <c r="AG177" s="245"/>
      <c r="AH177" s="245"/>
      <c r="AI177" s="245"/>
      <c r="AJ177" s="245"/>
      <c r="AK177" s="245"/>
      <c r="AL177" s="245"/>
      <c r="AM177" s="245"/>
    </row>
    <row r="178" spans="1:39" ht="20.100000000000001" customHeight="1" x14ac:dyDescent="0.25">
      <c r="A178" s="65"/>
      <c r="B178" s="66"/>
      <c r="C178" s="54"/>
      <c r="D178" s="71"/>
      <c r="E178" s="63"/>
      <c r="F178" s="63"/>
      <c r="G178" s="63"/>
      <c r="H178" s="63"/>
      <c r="I178" s="63"/>
      <c r="J178" s="63"/>
      <c r="K178" s="63"/>
      <c r="L178" s="63"/>
      <c r="M178" s="64"/>
      <c r="N178" s="50"/>
      <c r="O178" s="245"/>
      <c r="P178" s="245"/>
      <c r="Q178" s="245"/>
      <c r="R178" s="245"/>
      <c r="S178" s="245"/>
      <c r="T178" s="245"/>
      <c r="U178" s="245"/>
      <c r="V178" s="245"/>
      <c r="W178" s="245"/>
      <c r="X178" s="245"/>
      <c r="Y178" s="245"/>
      <c r="Z178" s="245"/>
      <c r="AA178" s="245"/>
      <c r="AB178" s="245"/>
      <c r="AC178" s="245"/>
      <c r="AD178" s="245"/>
      <c r="AE178" s="245"/>
      <c r="AF178" s="245"/>
      <c r="AG178" s="245"/>
      <c r="AH178" s="245"/>
      <c r="AI178" s="245"/>
      <c r="AJ178" s="245"/>
      <c r="AK178" s="245"/>
      <c r="AL178" s="245"/>
      <c r="AM178" s="245"/>
    </row>
    <row r="179" spans="1:39" ht="20.100000000000001" customHeight="1" x14ac:dyDescent="0.25">
      <c r="A179" s="65"/>
      <c r="B179" s="66"/>
      <c r="C179" s="54"/>
      <c r="D179" s="71"/>
      <c r="E179" s="63"/>
      <c r="F179" s="63"/>
      <c r="G179" s="63"/>
      <c r="H179" s="63"/>
      <c r="I179" s="63"/>
      <c r="J179" s="63"/>
      <c r="K179" s="63"/>
      <c r="L179" s="63"/>
      <c r="M179" s="64"/>
      <c r="N179" s="50"/>
      <c r="O179" s="245"/>
      <c r="P179" s="245"/>
      <c r="Q179" s="245"/>
      <c r="R179" s="245"/>
      <c r="S179" s="245"/>
      <c r="T179" s="245"/>
      <c r="U179" s="245"/>
      <c r="V179" s="245"/>
      <c r="W179" s="245"/>
      <c r="X179" s="245"/>
      <c r="Y179" s="245"/>
      <c r="Z179" s="245"/>
      <c r="AA179" s="245"/>
      <c r="AB179" s="245"/>
      <c r="AC179" s="245"/>
      <c r="AD179" s="245"/>
      <c r="AE179" s="245"/>
      <c r="AF179" s="245"/>
      <c r="AG179" s="245"/>
      <c r="AH179" s="245"/>
      <c r="AI179" s="245"/>
      <c r="AJ179" s="245"/>
      <c r="AK179" s="245"/>
      <c r="AL179" s="245"/>
      <c r="AM179" s="245"/>
    </row>
    <row r="180" spans="1:39" ht="20.100000000000001" customHeight="1" x14ac:dyDescent="0.25">
      <c r="A180" s="65"/>
      <c r="B180" s="66"/>
      <c r="C180" s="54"/>
      <c r="D180" s="71"/>
      <c r="E180" s="63"/>
      <c r="F180" s="63"/>
      <c r="G180" s="63"/>
      <c r="H180" s="63"/>
      <c r="I180" s="63"/>
      <c r="J180" s="63"/>
      <c r="K180" s="63"/>
      <c r="L180" s="63"/>
      <c r="M180" s="64"/>
      <c r="N180" s="50"/>
      <c r="O180" s="245"/>
      <c r="P180" s="245"/>
      <c r="Q180" s="245"/>
      <c r="R180" s="245"/>
      <c r="S180" s="245"/>
      <c r="T180" s="245"/>
      <c r="U180" s="245"/>
      <c r="V180" s="245"/>
      <c r="W180" s="245"/>
      <c r="X180" s="245"/>
      <c r="Y180" s="245"/>
      <c r="Z180" s="245"/>
      <c r="AA180" s="245"/>
      <c r="AB180" s="245"/>
      <c r="AC180" s="245"/>
      <c r="AD180" s="245"/>
      <c r="AE180" s="245"/>
      <c r="AF180" s="245"/>
      <c r="AG180" s="245"/>
      <c r="AH180" s="245"/>
      <c r="AI180" s="245"/>
      <c r="AJ180" s="245"/>
      <c r="AK180" s="245"/>
      <c r="AL180" s="245"/>
      <c r="AM180" s="245"/>
    </row>
    <row r="181" spans="1:39" ht="20.100000000000001" customHeight="1" x14ac:dyDescent="0.25">
      <c r="A181" s="65"/>
      <c r="B181" s="66"/>
      <c r="C181" s="54"/>
      <c r="D181" s="71"/>
      <c r="E181" s="63"/>
      <c r="F181" s="63"/>
      <c r="G181" s="63"/>
      <c r="H181" s="63"/>
      <c r="I181" s="63"/>
      <c r="J181" s="63"/>
      <c r="K181" s="63"/>
      <c r="L181" s="63"/>
      <c r="M181" s="64"/>
      <c r="N181" s="50"/>
      <c r="O181" s="245"/>
      <c r="P181" s="245"/>
      <c r="Q181" s="245"/>
      <c r="R181" s="245"/>
      <c r="S181" s="245"/>
      <c r="T181" s="245"/>
      <c r="U181" s="245"/>
      <c r="V181" s="245"/>
      <c r="W181" s="245"/>
      <c r="X181" s="245"/>
      <c r="Y181" s="245"/>
      <c r="Z181" s="245"/>
      <c r="AA181" s="245"/>
      <c r="AB181" s="245"/>
      <c r="AC181" s="245"/>
      <c r="AD181" s="245"/>
      <c r="AE181" s="245"/>
      <c r="AF181" s="245"/>
      <c r="AG181" s="245"/>
      <c r="AH181" s="245"/>
      <c r="AI181" s="245"/>
      <c r="AJ181" s="245"/>
      <c r="AK181" s="245"/>
      <c r="AL181" s="245"/>
      <c r="AM181" s="245"/>
    </row>
    <row r="182" spans="1:39" ht="20.100000000000001" customHeight="1" x14ac:dyDescent="0.25">
      <c r="A182" s="65"/>
      <c r="B182" s="66"/>
      <c r="C182" s="54"/>
      <c r="D182" s="71"/>
      <c r="E182" s="63"/>
      <c r="F182" s="63"/>
      <c r="G182" s="63"/>
      <c r="H182" s="63"/>
      <c r="I182" s="63"/>
      <c r="J182" s="63"/>
      <c r="K182" s="63"/>
      <c r="L182" s="63"/>
      <c r="M182" s="64"/>
      <c r="N182" s="50"/>
      <c r="O182" s="245"/>
      <c r="P182" s="245"/>
      <c r="Q182" s="245"/>
      <c r="R182" s="245"/>
      <c r="S182" s="245"/>
      <c r="T182" s="245"/>
      <c r="U182" s="245"/>
      <c r="V182" s="245"/>
      <c r="W182" s="245"/>
      <c r="X182" s="245"/>
      <c r="Y182" s="245"/>
      <c r="Z182" s="245"/>
      <c r="AA182" s="245"/>
      <c r="AB182" s="245"/>
      <c r="AC182" s="245"/>
      <c r="AD182" s="245"/>
      <c r="AE182" s="245"/>
      <c r="AF182" s="245"/>
      <c r="AG182" s="245"/>
      <c r="AH182" s="245"/>
      <c r="AI182" s="245"/>
      <c r="AJ182" s="245"/>
      <c r="AK182" s="245"/>
      <c r="AL182" s="245"/>
      <c r="AM182" s="245"/>
    </row>
    <row r="183" spans="1:39" ht="20.100000000000001" customHeight="1" x14ac:dyDescent="0.25">
      <c r="A183" s="65"/>
      <c r="B183" s="66"/>
      <c r="C183" s="54"/>
      <c r="D183" s="71"/>
      <c r="E183" s="63"/>
      <c r="F183" s="63"/>
      <c r="G183" s="63"/>
      <c r="H183" s="63"/>
      <c r="I183" s="63"/>
      <c r="J183" s="63"/>
      <c r="K183" s="63"/>
      <c r="L183" s="63"/>
      <c r="M183" s="64"/>
      <c r="N183" s="50"/>
      <c r="O183" s="245"/>
      <c r="P183" s="245"/>
      <c r="Q183" s="245"/>
      <c r="R183" s="245"/>
      <c r="S183" s="245"/>
      <c r="T183" s="245"/>
      <c r="U183" s="245"/>
      <c r="V183" s="245"/>
      <c r="W183" s="245"/>
      <c r="X183" s="245"/>
      <c r="Y183" s="245"/>
      <c r="Z183" s="245"/>
      <c r="AA183" s="245"/>
      <c r="AB183" s="245"/>
      <c r="AC183" s="245"/>
      <c r="AD183" s="245"/>
      <c r="AE183" s="245"/>
      <c r="AF183" s="245"/>
      <c r="AG183" s="245"/>
      <c r="AH183" s="245"/>
      <c r="AI183" s="245"/>
      <c r="AJ183" s="245"/>
      <c r="AK183" s="245"/>
      <c r="AL183" s="245"/>
      <c r="AM183" s="245"/>
    </row>
    <row r="184" spans="1:39" ht="20.100000000000001" customHeight="1" x14ac:dyDescent="0.25">
      <c r="A184" s="65"/>
      <c r="B184" s="66"/>
      <c r="C184" s="54"/>
      <c r="D184" s="71"/>
      <c r="E184" s="63"/>
      <c r="F184" s="63"/>
      <c r="G184" s="63"/>
      <c r="H184" s="63"/>
      <c r="I184" s="63"/>
      <c r="J184" s="63"/>
      <c r="K184" s="63"/>
      <c r="L184" s="63"/>
      <c r="M184" s="64"/>
      <c r="N184" s="50"/>
      <c r="O184" s="245"/>
      <c r="P184" s="245"/>
      <c r="Q184" s="245"/>
      <c r="R184" s="245"/>
      <c r="S184" s="245"/>
      <c r="T184" s="245"/>
      <c r="U184" s="245"/>
      <c r="V184" s="245"/>
      <c r="W184" s="245"/>
      <c r="X184" s="245"/>
      <c r="Y184" s="245"/>
      <c r="Z184" s="245"/>
      <c r="AA184" s="245"/>
      <c r="AB184" s="245"/>
      <c r="AC184" s="245"/>
      <c r="AD184" s="245"/>
      <c r="AE184" s="245"/>
      <c r="AF184" s="245"/>
      <c r="AG184" s="245"/>
      <c r="AH184" s="245"/>
      <c r="AI184" s="245"/>
      <c r="AJ184" s="245"/>
      <c r="AK184" s="245"/>
      <c r="AL184" s="245"/>
      <c r="AM184" s="245"/>
    </row>
    <row r="185" spans="1:39" ht="20.100000000000001" customHeight="1" x14ac:dyDescent="0.25">
      <c r="A185" s="65"/>
      <c r="B185" s="66"/>
      <c r="C185" s="54"/>
      <c r="D185" s="71"/>
      <c r="E185" s="63"/>
      <c r="F185" s="63"/>
      <c r="G185" s="63"/>
      <c r="H185" s="63"/>
      <c r="I185" s="63"/>
      <c r="J185" s="63"/>
      <c r="K185" s="63"/>
      <c r="L185" s="63"/>
      <c r="M185" s="64"/>
      <c r="N185" s="50"/>
      <c r="O185" s="245"/>
      <c r="P185" s="245"/>
      <c r="Q185" s="245"/>
      <c r="R185" s="245"/>
      <c r="S185" s="245"/>
      <c r="T185" s="245"/>
      <c r="U185" s="245"/>
      <c r="V185" s="245"/>
      <c r="W185" s="245"/>
      <c r="X185" s="245"/>
      <c r="Y185" s="245"/>
      <c r="Z185" s="245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45"/>
      <c r="AM185" s="245"/>
    </row>
    <row r="186" spans="1:39" ht="20.100000000000001" customHeight="1" x14ac:dyDescent="0.25">
      <c r="A186" s="65"/>
      <c r="B186" s="66"/>
      <c r="C186" s="54"/>
      <c r="D186" s="71"/>
      <c r="E186" s="63"/>
      <c r="F186" s="63"/>
      <c r="G186" s="63"/>
      <c r="H186" s="63"/>
      <c r="I186" s="63"/>
      <c r="J186" s="63"/>
      <c r="K186" s="63"/>
      <c r="L186" s="63"/>
      <c r="M186" s="64"/>
      <c r="N186" s="50"/>
      <c r="O186" s="245"/>
      <c r="P186" s="245"/>
      <c r="Q186" s="245"/>
      <c r="R186" s="245"/>
      <c r="S186" s="245"/>
      <c r="T186" s="245"/>
      <c r="U186" s="245"/>
      <c r="V186" s="245"/>
      <c r="W186" s="245"/>
      <c r="X186" s="245"/>
      <c r="Y186" s="245"/>
      <c r="Z186" s="245"/>
      <c r="AA186" s="245"/>
      <c r="AB186" s="245"/>
      <c r="AC186" s="245"/>
      <c r="AD186" s="245"/>
      <c r="AE186" s="245"/>
      <c r="AF186" s="245"/>
      <c r="AG186" s="245"/>
      <c r="AH186" s="245"/>
      <c r="AI186" s="245"/>
      <c r="AJ186" s="245"/>
      <c r="AK186" s="245"/>
      <c r="AL186" s="245"/>
      <c r="AM186" s="245"/>
    </row>
    <row r="187" spans="1:39" ht="20.100000000000001" customHeight="1" x14ac:dyDescent="0.25">
      <c r="A187" s="65"/>
      <c r="B187" s="66"/>
      <c r="C187" s="54"/>
      <c r="D187" s="71"/>
      <c r="E187" s="63"/>
      <c r="F187" s="63"/>
      <c r="G187" s="63"/>
      <c r="H187" s="63"/>
      <c r="I187" s="63"/>
      <c r="J187" s="63"/>
      <c r="K187" s="63"/>
      <c r="L187" s="63"/>
      <c r="M187" s="64"/>
      <c r="N187" s="50"/>
      <c r="O187" s="245"/>
      <c r="P187" s="245"/>
      <c r="Q187" s="245"/>
      <c r="R187" s="245"/>
      <c r="S187" s="245"/>
      <c r="T187" s="245"/>
      <c r="U187" s="245"/>
      <c r="V187" s="245"/>
      <c r="W187" s="245"/>
      <c r="X187" s="245"/>
      <c r="Y187" s="245"/>
      <c r="Z187" s="245"/>
      <c r="AA187" s="245"/>
      <c r="AB187" s="245"/>
      <c r="AC187" s="245"/>
      <c r="AD187" s="245"/>
      <c r="AE187" s="245"/>
      <c r="AF187" s="245"/>
      <c r="AG187" s="245"/>
      <c r="AH187" s="245"/>
      <c r="AI187" s="245"/>
      <c r="AJ187" s="245"/>
      <c r="AK187" s="245"/>
      <c r="AL187" s="245"/>
      <c r="AM187" s="245"/>
    </row>
    <row r="188" spans="1:39" ht="20.100000000000001" customHeight="1" x14ac:dyDescent="0.25">
      <c r="A188" s="65"/>
      <c r="B188" s="66"/>
      <c r="C188" s="54"/>
      <c r="D188" s="71"/>
      <c r="E188" s="63"/>
      <c r="F188" s="63"/>
      <c r="G188" s="63"/>
      <c r="H188" s="63"/>
      <c r="I188" s="63"/>
      <c r="J188" s="63"/>
      <c r="K188" s="63"/>
      <c r="L188" s="63"/>
      <c r="M188" s="64"/>
      <c r="N188" s="50"/>
      <c r="O188" s="245"/>
      <c r="P188" s="245"/>
      <c r="Q188" s="245"/>
      <c r="R188" s="245"/>
      <c r="S188" s="245"/>
      <c r="T188" s="245"/>
      <c r="U188" s="245"/>
      <c r="V188" s="245"/>
      <c r="W188" s="245"/>
      <c r="X188" s="245"/>
      <c r="Y188" s="245"/>
      <c r="Z188" s="245"/>
      <c r="AA188" s="245"/>
      <c r="AB188" s="245"/>
      <c r="AC188" s="245"/>
      <c r="AD188" s="245"/>
      <c r="AE188" s="245"/>
      <c r="AF188" s="245"/>
      <c r="AG188" s="245"/>
      <c r="AH188" s="245"/>
      <c r="AI188" s="245"/>
      <c r="AJ188" s="245"/>
      <c r="AK188" s="245"/>
      <c r="AL188" s="245"/>
      <c r="AM188" s="245"/>
    </row>
    <row r="189" spans="1:39" ht="20.100000000000001" customHeight="1" x14ac:dyDescent="0.25">
      <c r="A189" s="65"/>
      <c r="B189" s="66"/>
      <c r="C189" s="54"/>
      <c r="D189" s="71"/>
      <c r="E189" s="63"/>
      <c r="F189" s="63"/>
      <c r="G189" s="63"/>
      <c r="H189" s="63"/>
      <c r="I189" s="63"/>
      <c r="J189" s="63"/>
      <c r="K189" s="63"/>
      <c r="L189" s="63"/>
      <c r="M189" s="64"/>
      <c r="N189" s="50"/>
      <c r="O189" s="245"/>
      <c r="P189" s="245"/>
      <c r="Q189" s="245"/>
      <c r="R189" s="245"/>
      <c r="S189" s="245"/>
      <c r="T189" s="245"/>
      <c r="U189" s="245"/>
      <c r="V189" s="245"/>
      <c r="W189" s="245"/>
      <c r="X189" s="245"/>
      <c r="Y189" s="245"/>
      <c r="Z189" s="245"/>
      <c r="AA189" s="245"/>
      <c r="AB189" s="245"/>
      <c r="AC189" s="245"/>
      <c r="AD189" s="245"/>
      <c r="AE189" s="245"/>
      <c r="AF189" s="245"/>
      <c r="AG189" s="245"/>
      <c r="AH189" s="245"/>
      <c r="AI189" s="245"/>
      <c r="AJ189" s="245"/>
      <c r="AK189" s="245"/>
      <c r="AL189" s="245"/>
      <c r="AM189" s="245"/>
    </row>
    <row r="190" spans="1:39" ht="20.100000000000001" customHeight="1" x14ac:dyDescent="0.25">
      <c r="A190" s="65"/>
      <c r="B190" s="66"/>
      <c r="C190" s="54"/>
      <c r="D190" s="71"/>
      <c r="E190" s="63"/>
      <c r="F190" s="63"/>
      <c r="G190" s="63"/>
      <c r="H190" s="63"/>
      <c r="I190" s="63"/>
      <c r="J190" s="63"/>
      <c r="K190" s="63"/>
      <c r="L190" s="63"/>
      <c r="M190" s="64"/>
      <c r="N190" s="50"/>
      <c r="O190" s="245"/>
      <c r="P190" s="245"/>
      <c r="Q190" s="245"/>
      <c r="R190" s="245"/>
      <c r="S190" s="245"/>
      <c r="T190" s="245"/>
      <c r="U190" s="245"/>
      <c r="V190" s="245"/>
      <c r="W190" s="245"/>
      <c r="X190" s="245"/>
      <c r="Y190" s="245"/>
      <c r="Z190" s="245"/>
      <c r="AA190" s="245"/>
      <c r="AB190" s="245"/>
      <c r="AC190" s="245"/>
      <c r="AD190" s="245"/>
      <c r="AE190" s="245"/>
      <c r="AF190" s="245"/>
      <c r="AG190" s="245"/>
      <c r="AH190" s="245"/>
      <c r="AI190" s="245"/>
      <c r="AJ190" s="245"/>
      <c r="AK190" s="245"/>
      <c r="AL190" s="245"/>
      <c r="AM190" s="245"/>
    </row>
    <row r="191" spans="1:39" ht="20.100000000000001" customHeight="1" x14ac:dyDescent="0.25">
      <c r="A191" s="65"/>
      <c r="B191" s="66"/>
      <c r="C191" s="54"/>
      <c r="D191" s="71"/>
      <c r="E191" s="63"/>
      <c r="F191" s="63"/>
      <c r="G191" s="63"/>
      <c r="H191" s="63"/>
      <c r="I191" s="63"/>
      <c r="J191" s="63"/>
      <c r="K191" s="63"/>
      <c r="L191" s="63"/>
      <c r="M191" s="64"/>
      <c r="N191" s="50"/>
      <c r="O191" s="245"/>
      <c r="P191" s="245"/>
      <c r="Q191" s="245"/>
      <c r="R191" s="245"/>
      <c r="S191" s="245"/>
      <c r="T191" s="245"/>
      <c r="U191" s="245"/>
      <c r="V191" s="245"/>
      <c r="W191" s="245"/>
      <c r="X191" s="245"/>
      <c r="Y191" s="245"/>
      <c r="Z191" s="245"/>
      <c r="AA191" s="245"/>
      <c r="AB191" s="245"/>
      <c r="AC191" s="245"/>
      <c r="AD191" s="245"/>
      <c r="AE191" s="245"/>
      <c r="AF191" s="245"/>
      <c r="AG191" s="245"/>
      <c r="AH191" s="245"/>
      <c r="AI191" s="245"/>
      <c r="AJ191" s="245"/>
      <c r="AK191" s="245"/>
      <c r="AL191" s="245"/>
      <c r="AM191" s="245"/>
    </row>
    <row r="192" spans="1:39" ht="20.100000000000001" customHeight="1" x14ac:dyDescent="0.25">
      <c r="A192" s="65"/>
      <c r="B192" s="66"/>
      <c r="C192" s="54"/>
      <c r="D192" s="71"/>
      <c r="E192" s="63"/>
      <c r="F192" s="63"/>
      <c r="G192" s="63"/>
      <c r="H192" s="63"/>
      <c r="I192" s="63"/>
      <c r="J192" s="63"/>
      <c r="K192" s="63"/>
      <c r="L192" s="63"/>
      <c r="M192" s="64"/>
      <c r="N192" s="50"/>
      <c r="O192" s="245"/>
      <c r="P192" s="245"/>
      <c r="Q192" s="245"/>
      <c r="R192" s="245"/>
      <c r="S192" s="245"/>
      <c r="T192" s="245"/>
      <c r="U192" s="245"/>
      <c r="V192" s="245"/>
      <c r="W192" s="245"/>
      <c r="X192" s="245"/>
      <c r="Y192" s="245"/>
      <c r="Z192" s="245"/>
      <c r="AA192" s="245"/>
      <c r="AB192" s="245"/>
      <c r="AC192" s="245"/>
      <c r="AD192" s="245"/>
      <c r="AE192" s="245"/>
      <c r="AF192" s="245"/>
      <c r="AG192" s="245"/>
      <c r="AH192" s="245"/>
      <c r="AI192" s="245"/>
      <c r="AJ192" s="245"/>
      <c r="AK192" s="245"/>
      <c r="AL192" s="245"/>
      <c r="AM192" s="245"/>
    </row>
    <row r="193" spans="1:39" x14ac:dyDescent="0.25">
      <c r="A193" s="50"/>
      <c r="B193" s="50"/>
      <c r="C193" s="127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245"/>
      <c r="P193" s="245"/>
      <c r="Q193" s="245"/>
      <c r="R193" s="245"/>
      <c r="S193" s="245"/>
      <c r="T193" s="245"/>
      <c r="U193" s="245"/>
      <c r="V193" s="245"/>
      <c r="W193" s="245"/>
      <c r="X193" s="245"/>
      <c r="Y193" s="245"/>
      <c r="Z193" s="245"/>
      <c r="AA193" s="245"/>
      <c r="AB193" s="245"/>
      <c r="AC193" s="245"/>
      <c r="AD193" s="245"/>
      <c r="AE193" s="245"/>
      <c r="AF193" s="245"/>
      <c r="AG193" s="245"/>
      <c r="AH193" s="245"/>
      <c r="AI193" s="245"/>
      <c r="AJ193" s="245"/>
      <c r="AK193" s="245"/>
      <c r="AL193" s="245"/>
      <c r="AM193" s="245"/>
    </row>
    <row r="194" spans="1:39" x14ac:dyDescent="0.25">
      <c r="A194" s="50"/>
      <c r="B194" s="50"/>
      <c r="C194" s="127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245"/>
      <c r="P194" s="245"/>
      <c r="Q194" s="245"/>
      <c r="R194" s="245"/>
      <c r="S194" s="245"/>
      <c r="T194" s="245"/>
      <c r="U194" s="245"/>
      <c r="V194" s="245"/>
      <c r="W194" s="245"/>
      <c r="X194" s="245"/>
      <c r="Y194" s="245"/>
      <c r="Z194" s="245"/>
      <c r="AA194" s="245"/>
      <c r="AB194" s="245"/>
      <c r="AC194" s="245"/>
      <c r="AD194" s="245"/>
      <c r="AE194" s="245"/>
      <c r="AF194" s="245"/>
      <c r="AG194" s="245"/>
      <c r="AH194" s="245"/>
      <c r="AI194" s="245"/>
      <c r="AJ194" s="245"/>
      <c r="AK194" s="245"/>
      <c r="AL194" s="245"/>
      <c r="AM194" s="245"/>
    </row>
    <row r="195" spans="1:39" x14ac:dyDescent="0.25">
      <c r="A195" s="50"/>
      <c r="B195" s="50"/>
      <c r="C195" s="127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245"/>
      <c r="P195" s="245"/>
      <c r="Q195" s="245"/>
      <c r="R195" s="245"/>
      <c r="S195" s="245"/>
      <c r="T195" s="245"/>
      <c r="U195" s="245"/>
      <c r="V195" s="245"/>
      <c r="W195" s="245"/>
      <c r="X195" s="245"/>
      <c r="Y195" s="245"/>
      <c r="Z195" s="245"/>
      <c r="AA195" s="245"/>
      <c r="AB195" s="245"/>
      <c r="AC195" s="245"/>
      <c r="AD195" s="245"/>
      <c r="AE195" s="245"/>
      <c r="AF195" s="245"/>
      <c r="AG195" s="245"/>
      <c r="AH195" s="245"/>
      <c r="AI195" s="245"/>
      <c r="AJ195" s="245"/>
      <c r="AK195" s="245"/>
      <c r="AL195" s="245"/>
      <c r="AM195" s="245"/>
    </row>
    <row r="196" spans="1:39" x14ac:dyDescent="0.25">
      <c r="A196" s="50"/>
      <c r="B196" s="50"/>
      <c r="C196" s="127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245"/>
      <c r="P196" s="245"/>
      <c r="Q196" s="245"/>
      <c r="R196" s="245"/>
      <c r="S196" s="245"/>
      <c r="T196" s="245"/>
      <c r="U196" s="245"/>
      <c r="V196" s="245"/>
      <c r="W196" s="245"/>
      <c r="X196" s="245"/>
      <c r="Y196" s="245"/>
      <c r="Z196" s="245"/>
      <c r="AA196" s="245"/>
      <c r="AB196" s="245"/>
      <c r="AC196" s="245"/>
      <c r="AD196" s="245"/>
      <c r="AE196" s="245"/>
      <c r="AF196" s="245"/>
      <c r="AG196" s="245"/>
      <c r="AH196" s="245"/>
      <c r="AI196" s="245"/>
      <c r="AJ196" s="245"/>
      <c r="AK196" s="245"/>
      <c r="AL196" s="245"/>
      <c r="AM196" s="245"/>
    </row>
    <row r="197" spans="1:39" x14ac:dyDescent="0.25">
      <c r="A197" s="50"/>
      <c r="B197" s="50"/>
      <c r="C197" s="127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245"/>
      <c r="P197" s="245"/>
      <c r="Q197" s="245"/>
      <c r="R197" s="245"/>
      <c r="S197" s="245"/>
      <c r="T197" s="245"/>
      <c r="U197" s="245"/>
      <c r="V197" s="245"/>
      <c r="W197" s="245"/>
      <c r="X197" s="245"/>
      <c r="Y197" s="245"/>
      <c r="Z197" s="245"/>
      <c r="AA197" s="245"/>
      <c r="AB197" s="245"/>
      <c r="AC197" s="245"/>
      <c r="AD197" s="245"/>
      <c r="AE197" s="245"/>
      <c r="AF197" s="245"/>
      <c r="AG197" s="245"/>
      <c r="AH197" s="245"/>
      <c r="AI197" s="245"/>
      <c r="AJ197" s="245"/>
      <c r="AK197" s="245"/>
      <c r="AL197" s="245"/>
      <c r="AM197" s="245"/>
    </row>
    <row r="198" spans="1:39" x14ac:dyDescent="0.25">
      <c r="A198" s="50"/>
      <c r="B198" s="50"/>
      <c r="C198" s="127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245"/>
      <c r="P198" s="245"/>
      <c r="Q198" s="245"/>
      <c r="R198" s="245"/>
      <c r="S198" s="245"/>
      <c r="T198" s="245"/>
      <c r="U198" s="245"/>
      <c r="V198" s="245"/>
      <c r="W198" s="245"/>
      <c r="X198" s="245"/>
      <c r="Y198" s="245"/>
      <c r="Z198" s="245"/>
      <c r="AA198" s="245"/>
      <c r="AB198" s="245"/>
      <c r="AC198" s="245"/>
      <c r="AD198" s="245"/>
      <c r="AE198" s="245"/>
      <c r="AF198" s="245"/>
      <c r="AG198" s="245"/>
      <c r="AH198" s="245"/>
      <c r="AI198" s="245"/>
      <c r="AJ198" s="245"/>
      <c r="AK198" s="245"/>
      <c r="AL198" s="245"/>
      <c r="AM198" s="245"/>
    </row>
    <row r="199" spans="1:39" x14ac:dyDescent="0.25">
      <c r="A199" s="50"/>
      <c r="B199" s="50"/>
      <c r="C199" s="127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245"/>
      <c r="P199" s="245"/>
      <c r="Q199" s="245"/>
      <c r="R199" s="245"/>
      <c r="S199" s="245"/>
      <c r="T199" s="245"/>
      <c r="U199" s="245"/>
      <c r="V199" s="245"/>
      <c r="W199" s="245"/>
      <c r="X199" s="245"/>
      <c r="Y199" s="245"/>
      <c r="Z199" s="245"/>
      <c r="AA199" s="245"/>
      <c r="AB199" s="245"/>
      <c r="AC199" s="245"/>
      <c r="AD199" s="245"/>
      <c r="AE199" s="245"/>
      <c r="AF199" s="245"/>
      <c r="AG199" s="245"/>
      <c r="AH199" s="245"/>
      <c r="AI199" s="245"/>
      <c r="AJ199" s="245"/>
      <c r="AK199" s="245"/>
      <c r="AL199" s="245"/>
      <c r="AM199" s="245"/>
    </row>
    <row r="200" spans="1:39" x14ac:dyDescent="0.25">
      <c r="A200" s="50"/>
      <c r="B200" s="50"/>
      <c r="C200" s="127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245"/>
      <c r="P200" s="245"/>
      <c r="Q200" s="245"/>
      <c r="R200" s="245"/>
      <c r="S200" s="245"/>
      <c r="T200" s="245"/>
      <c r="U200" s="245"/>
      <c r="V200" s="245"/>
      <c r="W200" s="245"/>
      <c r="X200" s="245"/>
      <c r="Y200" s="245"/>
      <c r="Z200" s="245"/>
      <c r="AA200" s="245"/>
      <c r="AB200" s="245"/>
      <c r="AC200" s="245"/>
      <c r="AD200" s="245"/>
      <c r="AE200" s="245"/>
      <c r="AF200" s="245"/>
      <c r="AG200" s="245"/>
      <c r="AH200" s="245"/>
      <c r="AI200" s="245"/>
      <c r="AJ200" s="245"/>
      <c r="AK200" s="245"/>
      <c r="AL200" s="245"/>
      <c r="AM200" s="245"/>
    </row>
    <row r="201" spans="1:39" x14ac:dyDescent="0.25">
      <c r="A201" s="50"/>
      <c r="B201" s="50"/>
      <c r="C201" s="127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245"/>
      <c r="P201" s="245"/>
      <c r="Q201" s="245"/>
      <c r="R201" s="245"/>
      <c r="S201" s="245"/>
      <c r="T201" s="245"/>
      <c r="U201" s="245"/>
      <c r="V201" s="245"/>
      <c r="W201" s="245"/>
      <c r="X201" s="245"/>
      <c r="Y201" s="245"/>
      <c r="Z201" s="245"/>
      <c r="AA201" s="245"/>
      <c r="AB201" s="245"/>
      <c r="AC201" s="245"/>
      <c r="AD201" s="245"/>
      <c r="AE201" s="245"/>
      <c r="AF201" s="245"/>
      <c r="AG201" s="245"/>
      <c r="AH201" s="245"/>
      <c r="AI201" s="245"/>
      <c r="AJ201" s="245"/>
      <c r="AK201" s="245"/>
      <c r="AL201" s="245"/>
      <c r="AM201" s="245"/>
    </row>
    <row r="202" spans="1:39" x14ac:dyDescent="0.25">
      <c r="A202" s="50"/>
      <c r="B202" s="50"/>
      <c r="C202" s="127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245"/>
      <c r="P202" s="245"/>
      <c r="Q202" s="245"/>
      <c r="R202" s="245"/>
      <c r="S202" s="245"/>
      <c r="T202" s="245"/>
      <c r="U202" s="245"/>
      <c r="V202" s="245"/>
      <c r="W202" s="245"/>
      <c r="X202" s="245"/>
      <c r="Y202" s="245"/>
      <c r="Z202" s="245"/>
      <c r="AA202" s="245"/>
      <c r="AB202" s="245"/>
      <c r="AC202" s="245"/>
      <c r="AD202" s="245"/>
      <c r="AE202" s="245"/>
      <c r="AF202" s="245"/>
      <c r="AG202" s="245"/>
      <c r="AH202" s="245"/>
      <c r="AI202" s="245"/>
      <c r="AJ202" s="245"/>
      <c r="AK202" s="245"/>
      <c r="AL202" s="245"/>
      <c r="AM202" s="245"/>
    </row>
    <row r="203" spans="1:39" x14ac:dyDescent="0.25">
      <c r="A203" s="50"/>
      <c r="B203" s="50"/>
      <c r="C203" s="127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245"/>
      <c r="P203" s="245"/>
      <c r="Q203" s="245"/>
      <c r="R203" s="245"/>
      <c r="S203" s="245"/>
      <c r="T203" s="245"/>
      <c r="U203" s="245"/>
      <c r="V203" s="245"/>
      <c r="W203" s="245"/>
      <c r="X203" s="245"/>
      <c r="Y203" s="245"/>
      <c r="Z203" s="245"/>
      <c r="AA203" s="245"/>
      <c r="AB203" s="245"/>
      <c r="AC203" s="245"/>
      <c r="AD203" s="245"/>
      <c r="AE203" s="245"/>
      <c r="AF203" s="245"/>
      <c r="AG203" s="245"/>
      <c r="AH203" s="245"/>
      <c r="AI203" s="245"/>
      <c r="AJ203" s="245"/>
      <c r="AK203" s="245"/>
      <c r="AL203" s="245"/>
      <c r="AM203" s="245"/>
    </row>
    <row r="204" spans="1:39" x14ac:dyDescent="0.25">
      <c r="A204" s="50"/>
      <c r="B204" s="50"/>
      <c r="C204" s="127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245"/>
      <c r="P204" s="245"/>
      <c r="Q204" s="245"/>
      <c r="R204" s="245"/>
      <c r="S204" s="245"/>
      <c r="T204" s="245"/>
      <c r="U204" s="245"/>
      <c r="V204" s="245"/>
      <c r="W204" s="245"/>
      <c r="X204" s="245"/>
      <c r="Y204" s="245"/>
      <c r="Z204" s="245"/>
      <c r="AA204" s="245"/>
      <c r="AB204" s="245"/>
      <c r="AC204" s="245"/>
      <c r="AD204" s="245"/>
      <c r="AE204" s="245"/>
      <c r="AF204" s="245"/>
      <c r="AG204" s="245"/>
      <c r="AH204" s="245"/>
      <c r="AI204" s="245"/>
      <c r="AJ204" s="245"/>
      <c r="AK204" s="245"/>
      <c r="AL204" s="245"/>
      <c r="AM204" s="245"/>
    </row>
    <row r="205" spans="1:39" x14ac:dyDescent="0.25">
      <c r="A205" s="50"/>
      <c r="B205" s="50"/>
      <c r="C205" s="127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245"/>
      <c r="P205" s="245"/>
      <c r="Q205" s="245"/>
      <c r="R205" s="245"/>
      <c r="S205" s="245"/>
      <c r="T205" s="245"/>
      <c r="U205" s="245"/>
      <c r="V205" s="245"/>
      <c r="W205" s="245"/>
      <c r="X205" s="245"/>
      <c r="Y205" s="245"/>
      <c r="Z205" s="245"/>
      <c r="AA205" s="245"/>
      <c r="AB205" s="245"/>
      <c r="AC205" s="245"/>
      <c r="AD205" s="245"/>
      <c r="AE205" s="245"/>
      <c r="AF205" s="245"/>
      <c r="AG205" s="245"/>
      <c r="AH205" s="245"/>
      <c r="AI205" s="245"/>
      <c r="AJ205" s="245"/>
      <c r="AK205" s="245"/>
      <c r="AL205" s="245"/>
      <c r="AM205" s="245"/>
    </row>
    <row r="206" spans="1:39" x14ac:dyDescent="0.25">
      <c r="A206" s="50"/>
      <c r="B206" s="50"/>
      <c r="C206" s="127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245"/>
      <c r="P206" s="245"/>
      <c r="Q206" s="245"/>
      <c r="R206" s="245"/>
      <c r="S206" s="245"/>
      <c r="T206" s="245"/>
      <c r="U206" s="245"/>
      <c r="V206" s="245"/>
      <c r="W206" s="245"/>
      <c r="X206" s="245"/>
      <c r="Y206" s="245"/>
      <c r="Z206" s="245"/>
      <c r="AA206" s="245"/>
      <c r="AB206" s="245"/>
      <c r="AC206" s="245"/>
      <c r="AD206" s="245"/>
      <c r="AE206" s="245"/>
      <c r="AF206" s="245"/>
      <c r="AG206" s="245"/>
      <c r="AH206" s="245"/>
      <c r="AI206" s="245"/>
      <c r="AJ206" s="245"/>
      <c r="AK206" s="245"/>
      <c r="AL206" s="245"/>
      <c r="AM206" s="245"/>
    </row>
    <row r="207" spans="1:39" x14ac:dyDescent="0.25">
      <c r="A207" s="50"/>
      <c r="B207" s="50"/>
      <c r="C207" s="127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245"/>
      <c r="P207" s="245"/>
      <c r="Q207" s="245"/>
      <c r="R207" s="245"/>
      <c r="S207" s="245"/>
      <c r="T207" s="245"/>
      <c r="U207" s="245"/>
      <c r="V207" s="245"/>
      <c r="W207" s="245"/>
      <c r="X207" s="245"/>
      <c r="Y207" s="245"/>
      <c r="Z207" s="245"/>
      <c r="AA207" s="245"/>
      <c r="AB207" s="245"/>
      <c r="AC207" s="245"/>
      <c r="AD207" s="245"/>
      <c r="AE207" s="245"/>
      <c r="AF207" s="245"/>
      <c r="AG207" s="245"/>
      <c r="AH207" s="245"/>
      <c r="AI207" s="245"/>
      <c r="AJ207" s="245"/>
      <c r="AK207" s="245"/>
      <c r="AL207" s="245"/>
      <c r="AM207" s="245"/>
    </row>
    <row r="208" spans="1:39" x14ac:dyDescent="0.25">
      <c r="A208" s="50"/>
      <c r="B208" s="50"/>
      <c r="C208" s="127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245"/>
      <c r="P208" s="245"/>
      <c r="Q208" s="245"/>
      <c r="R208" s="245"/>
      <c r="S208" s="245"/>
      <c r="T208" s="245"/>
      <c r="U208" s="245"/>
      <c r="V208" s="245"/>
      <c r="W208" s="245"/>
      <c r="X208" s="245"/>
      <c r="Y208" s="245"/>
      <c r="Z208" s="245"/>
      <c r="AA208" s="245"/>
      <c r="AB208" s="245"/>
      <c r="AC208" s="245"/>
      <c r="AD208" s="245"/>
      <c r="AE208" s="245"/>
      <c r="AF208" s="245"/>
      <c r="AG208" s="245"/>
      <c r="AH208" s="245"/>
      <c r="AI208" s="245"/>
      <c r="AJ208" s="245"/>
      <c r="AK208" s="245"/>
      <c r="AL208" s="245"/>
      <c r="AM208" s="245"/>
    </row>
    <row r="209" spans="1:39" x14ac:dyDescent="0.25">
      <c r="A209" s="50"/>
      <c r="B209" s="50"/>
      <c r="C209" s="127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245"/>
      <c r="P209" s="245"/>
      <c r="Q209" s="245"/>
      <c r="R209" s="245"/>
      <c r="S209" s="245"/>
      <c r="T209" s="245"/>
      <c r="U209" s="245"/>
      <c r="V209" s="245"/>
      <c r="W209" s="245"/>
      <c r="X209" s="245"/>
      <c r="Y209" s="245"/>
      <c r="Z209" s="245"/>
      <c r="AA209" s="245"/>
      <c r="AB209" s="245"/>
      <c r="AC209" s="245"/>
      <c r="AD209" s="245"/>
      <c r="AE209" s="245"/>
      <c r="AF209" s="245"/>
      <c r="AG209" s="245"/>
      <c r="AH209" s="245"/>
      <c r="AI209" s="245"/>
      <c r="AJ209" s="245"/>
      <c r="AK209" s="245"/>
      <c r="AL209" s="245"/>
      <c r="AM209" s="245"/>
    </row>
    <row r="210" spans="1:39" x14ac:dyDescent="0.25">
      <c r="A210" s="50"/>
      <c r="B210" s="50"/>
      <c r="C210" s="127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245"/>
      <c r="P210" s="245"/>
      <c r="Q210" s="245"/>
      <c r="R210" s="245"/>
      <c r="S210" s="245"/>
      <c r="T210" s="245"/>
      <c r="U210" s="245"/>
      <c r="V210" s="245"/>
      <c r="W210" s="245"/>
      <c r="X210" s="245"/>
      <c r="Y210" s="245"/>
      <c r="Z210" s="245"/>
      <c r="AA210" s="245"/>
      <c r="AB210" s="245"/>
      <c r="AC210" s="245"/>
      <c r="AD210" s="245"/>
      <c r="AE210" s="245"/>
      <c r="AF210" s="245"/>
      <c r="AG210" s="245"/>
      <c r="AH210" s="245"/>
      <c r="AI210" s="245"/>
      <c r="AJ210" s="245"/>
      <c r="AK210" s="245"/>
      <c r="AL210" s="245"/>
      <c r="AM210" s="245"/>
    </row>
    <row r="211" spans="1:39" x14ac:dyDescent="0.25">
      <c r="A211" s="50"/>
      <c r="B211" s="50"/>
      <c r="C211" s="127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245"/>
      <c r="P211" s="245"/>
      <c r="Q211" s="245"/>
      <c r="R211" s="245"/>
      <c r="S211" s="245"/>
      <c r="T211" s="245"/>
      <c r="U211" s="245"/>
      <c r="V211" s="245"/>
      <c r="W211" s="245"/>
      <c r="X211" s="245"/>
      <c r="Y211" s="245"/>
      <c r="Z211" s="245"/>
      <c r="AA211" s="245"/>
      <c r="AB211" s="245"/>
      <c r="AC211" s="245"/>
      <c r="AD211" s="245"/>
      <c r="AE211" s="245"/>
      <c r="AF211" s="245"/>
      <c r="AG211" s="245"/>
      <c r="AH211" s="245"/>
      <c r="AI211" s="245"/>
      <c r="AJ211" s="245"/>
      <c r="AK211" s="245"/>
      <c r="AL211" s="245"/>
      <c r="AM211" s="245"/>
    </row>
    <row r="212" spans="1:39" x14ac:dyDescent="0.25">
      <c r="A212" s="50"/>
      <c r="B212" s="50"/>
      <c r="C212" s="127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245"/>
      <c r="P212" s="245"/>
      <c r="Q212" s="245"/>
      <c r="R212" s="245"/>
      <c r="S212" s="245"/>
      <c r="T212" s="245"/>
      <c r="U212" s="245"/>
      <c r="V212" s="245"/>
      <c r="W212" s="245"/>
      <c r="X212" s="245"/>
      <c r="Y212" s="245"/>
      <c r="Z212" s="245"/>
      <c r="AA212" s="245"/>
      <c r="AB212" s="245"/>
      <c r="AC212" s="245"/>
      <c r="AD212" s="245"/>
      <c r="AE212" s="245"/>
      <c r="AF212" s="245"/>
      <c r="AG212" s="245"/>
      <c r="AH212" s="245"/>
      <c r="AI212" s="245"/>
      <c r="AJ212" s="245"/>
      <c r="AK212" s="245"/>
      <c r="AL212" s="245"/>
      <c r="AM212" s="245"/>
    </row>
    <row r="213" spans="1:39" x14ac:dyDescent="0.25">
      <c r="A213" s="50"/>
      <c r="B213" s="50"/>
      <c r="C213" s="127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245"/>
      <c r="P213" s="245"/>
      <c r="Q213" s="245"/>
      <c r="R213" s="245"/>
      <c r="S213" s="245"/>
      <c r="T213" s="245"/>
      <c r="U213" s="245"/>
      <c r="V213" s="245"/>
      <c r="W213" s="245"/>
      <c r="X213" s="245"/>
      <c r="Y213" s="245"/>
      <c r="Z213" s="245"/>
      <c r="AA213" s="245"/>
      <c r="AB213" s="245"/>
      <c r="AC213" s="245"/>
      <c r="AD213" s="245"/>
      <c r="AE213" s="245"/>
      <c r="AF213" s="245"/>
      <c r="AG213" s="245"/>
      <c r="AH213" s="245"/>
      <c r="AI213" s="245"/>
      <c r="AJ213" s="245"/>
      <c r="AK213" s="245"/>
      <c r="AL213" s="245"/>
      <c r="AM213" s="245"/>
    </row>
    <row r="214" spans="1:39" x14ac:dyDescent="0.25">
      <c r="A214" s="50"/>
      <c r="B214" s="50"/>
      <c r="C214" s="127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245"/>
      <c r="P214" s="245"/>
      <c r="Q214" s="245"/>
      <c r="R214" s="245"/>
      <c r="S214" s="245"/>
      <c r="T214" s="245"/>
      <c r="U214" s="245"/>
      <c r="V214" s="245"/>
      <c r="W214" s="245"/>
      <c r="X214" s="245"/>
      <c r="Y214" s="245"/>
      <c r="Z214" s="245"/>
      <c r="AA214" s="245"/>
      <c r="AB214" s="245"/>
      <c r="AC214" s="245"/>
      <c r="AD214" s="245"/>
      <c r="AE214" s="245"/>
      <c r="AF214" s="245"/>
      <c r="AG214" s="245"/>
      <c r="AH214" s="245"/>
      <c r="AI214" s="245"/>
      <c r="AJ214" s="245"/>
      <c r="AK214" s="245"/>
      <c r="AL214" s="245"/>
      <c r="AM214" s="245"/>
    </row>
    <row r="215" spans="1:39" x14ac:dyDescent="0.25">
      <c r="A215" s="50"/>
      <c r="B215" s="50"/>
      <c r="C215" s="127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245"/>
      <c r="P215" s="245"/>
      <c r="Q215" s="245"/>
      <c r="R215" s="245"/>
      <c r="S215" s="245"/>
      <c r="T215" s="245"/>
      <c r="U215" s="245"/>
      <c r="V215" s="245"/>
      <c r="W215" s="245"/>
      <c r="X215" s="245"/>
      <c r="Y215" s="245"/>
      <c r="Z215" s="245"/>
      <c r="AA215" s="245"/>
      <c r="AB215" s="245"/>
      <c r="AC215" s="245"/>
      <c r="AD215" s="245"/>
      <c r="AE215" s="245"/>
      <c r="AF215" s="245"/>
      <c r="AG215" s="245"/>
      <c r="AH215" s="245"/>
      <c r="AI215" s="245"/>
      <c r="AJ215" s="245"/>
      <c r="AK215" s="245"/>
      <c r="AL215" s="245"/>
      <c r="AM215" s="245"/>
    </row>
    <row r="216" spans="1:39" x14ac:dyDescent="0.25">
      <c r="A216" s="50"/>
      <c r="B216" s="50"/>
      <c r="C216" s="127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245"/>
      <c r="P216" s="245"/>
      <c r="Q216" s="245"/>
      <c r="R216" s="245"/>
      <c r="S216" s="245"/>
      <c r="T216" s="245"/>
      <c r="U216" s="245"/>
      <c r="V216" s="245"/>
      <c r="W216" s="245"/>
      <c r="X216" s="245"/>
      <c r="Y216" s="245"/>
      <c r="Z216" s="245"/>
      <c r="AA216" s="245"/>
      <c r="AB216" s="245"/>
      <c r="AC216" s="245"/>
      <c r="AD216" s="245"/>
      <c r="AE216" s="245"/>
      <c r="AF216" s="245"/>
      <c r="AG216" s="245"/>
      <c r="AH216" s="245"/>
      <c r="AI216" s="245"/>
      <c r="AJ216" s="245"/>
      <c r="AK216" s="245"/>
      <c r="AL216" s="245"/>
      <c r="AM216" s="245"/>
    </row>
    <row r="217" spans="1:39" x14ac:dyDescent="0.25">
      <c r="A217" s="50"/>
      <c r="B217" s="50"/>
      <c r="C217" s="127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245"/>
      <c r="P217" s="245"/>
      <c r="Q217" s="245"/>
      <c r="R217" s="245"/>
      <c r="S217" s="245"/>
      <c r="T217" s="245"/>
      <c r="U217" s="245"/>
      <c r="V217" s="245"/>
      <c r="W217" s="245"/>
      <c r="X217" s="245"/>
      <c r="Y217" s="245"/>
      <c r="Z217" s="245"/>
      <c r="AA217" s="245"/>
      <c r="AB217" s="245"/>
      <c r="AC217" s="245"/>
      <c r="AD217" s="245"/>
      <c r="AE217" s="245"/>
      <c r="AF217" s="245"/>
      <c r="AG217" s="245"/>
      <c r="AH217" s="245"/>
      <c r="AI217" s="245"/>
      <c r="AJ217" s="245"/>
      <c r="AK217" s="245"/>
      <c r="AL217" s="245"/>
      <c r="AM217" s="245"/>
    </row>
    <row r="218" spans="1:39" x14ac:dyDescent="0.25">
      <c r="A218" s="50"/>
      <c r="B218" s="50"/>
      <c r="C218" s="127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245"/>
      <c r="P218" s="245"/>
      <c r="Q218" s="245"/>
      <c r="R218" s="245"/>
      <c r="S218" s="245"/>
      <c r="T218" s="245"/>
      <c r="U218" s="245"/>
      <c r="V218" s="245"/>
      <c r="W218" s="245"/>
      <c r="X218" s="245"/>
      <c r="Y218" s="245"/>
      <c r="Z218" s="245"/>
      <c r="AA218" s="245"/>
      <c r="AB218" s="245"/>
      <c r="AC218" s="245"/>
      <c r="AD218" s="245"/>
      <c r="AE218" s="245"/>
      <c r="AF218" s="245"/>
      <c r="AG218" s="245"/>
      <c r="AH218" s="245"/>
      <c r="AI218" s="245"/>
      <c r="AJ218" s="245"/>
      <c r="AK218" s="245"/>
      <c r="AL218" s="245"/>
      <c r="AM218" s="245"/>
    </row>
    <row r="219" spans="1:39" x14ac:dyDescent="0.25">
      <c r="A219" s="50"/>
      <c r="B219" s="50"/>
      <c r="C219" s="127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245"/>
      <c r="P219" s="245"/>
      <c r="Q219" s="245"/>
      <c r="R219" s="245"/>
      <c r="S219" s="245"/>
      <c r="T219" s="245"/>
      <c r="U219" s="245"/>
      <c r="V219" s="245"/>
      <c r="W219" s="245"/>
      <c r="X219" s="245"/>
      <c r="Y219" s="245"/>
      <c r="Z219" s="245"/>
      <c r="AA219" s="245"/>
      <c r="AB219" s="245"/>
      <c r="AC219" s="245"/>
      <c r="AD219" s="245"/>
      <c r="AE219" s="245"/>
      <c r="AF219" s="245"/>
      <c r="AG219" s="245"/>
      <c r="AH219" s="245"/>
      <c r="AI219" s="245"/>
      <c r="AJ219" s="245"/>
      <c r="AK219" s="245"/>
      <c r="AL219" s="245"/>
      <c r="AM219" s="245"/>
    </row>
    <row r="220" spans="1:39" x14ac:dyDescent="0.25">
      <c r="A220" s="50"/>
      <c r="B220" s="50"/>
      <c r="C220" s="127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245"/>
      <c r="P220" s="245"/>
      <c r="Q220" s="245"/>
      <c r="R220" s="245"/>
      <c r="S220" s="245"/>
      <c r="T220" s="245"/>
      <c r="U220" s="245"/>
      <c r="V220" s="245"/>
      <c r="W220" s="245"/>
      <c r="X220" s="245"/>
      <c r="Y220" s="245"/>
      <c r="Z220" s="245"/>
      <c r="AA220" s="245"/>
      <c r="AB220" s="245"/>
      <c r="AC220" s="245"/>
      <c r="AD220" s="245"/>
      <c r="AE220" s="245"/>
      <c r="AF220" s="245"/>
      <c r="AG220" s="245"/>
      <c r="AH220" s="245"/>
      <c r="AI220" s="245"/>
      <c r="AJ220" s="245"/>
      <c r="AK220" s="245"/>
      <c r="AL220" s="245"/>
      <c r="AM220" s="245"/>
    </row>
    <row r="221" spans="1:39" x14ac:dyDescent="0.25">
      <c r="A221" s="50"/>
      <c r="B221" s="50"/>
      <c r="C221" s="127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245"/>
      <c r="P221" s="245"/>
      <c r="Q221" s="245"/>
      <c r="R221" s="245"/>
      <c r="S221" s="245"/>
      <c r="T221" s="245"/>
      <c r="U221" s="245"/>
      <c r="V221" s="245"/>
      <c r="W221" s="245"/>
      <c r="X221" s="245"/>
      <c r="Y221" s="245"/>
      <c r="Z221" s="245"/>
      <c r="AA221" s="245"/>
      <c r="AB221" s="245"/>
      <c r="AC221" s="245"/>
      <c r="AD221" s="245"/>
      <c r="AE221" s="245"/>
      <c r="AF221" s="245"/>
      <c r="AG221" s="245"/>
      <c r="AH221" s="245"/>
      <c r="AI221" s="245"/>
      <c r="AJ221" s="245"/>
      <c r="AK221" s="245"/>
      <c r="AL221" s="245"/>
      <c r="AM221" s="245"/>
    </row>
    <row r="222" spans="1:39" x14ac:dyDescent="0.25">
      <c r="A222" s="50"/>
      <c r="B222" s="50"/>
      <c r="C222" s="127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245"/>
      <c r="P222" s="245"/>
      <c r="Q222" s="245"/>
      <c r="R222" s="245"/>
      <c r="S222" s="245"/>
      <c r="T222" s="245"/>
      <c r="U222" s="245"/>
      <c r="V222" s="245"/>
      <c r="W222" s="245"/>
      <c r="X222" s="245"/>
      <c r="Y222" s="245"/>
      <c r="Z222" s="245"/>
      <c r="AA222" s="245"/>
      <c r="AB222" s="245"/>
      <c r="AC222" s="245"/>
      <c r="AD222" s="245"/>
      <c r="AE222" s="245"/>
      <c r="AF222" s="245"/>
      <c r="AG222" s="245"/>
      <c r="AH222" s="245"/>
      <c r="AI222" s="245"/>
      <c r="AJ222" s="245"/>
      <c r="AK222" s="245"/>
      <c r="AL222" s="245"/>
      <c r="AM222" s="245"/>
    </row>
    <row r="223" spans="1:39" x14ac:dyDescent="0.25">
      <c r="A223" s="50"/>
      <c r="B223" s="50"/>
      <c r="C223" s="127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245"/>
      <c r="P223" s="245"/>
      <c r="Q223" s="245"/>
      <c r="R223" s="245"/>
      <c r="S223" s="245"/>
      <c r="T223" s="245"/>
      <c r="U223" s="245"/>
      <c r="V223" s="245"/>
      <c r="W223" s="245"/>
      <c r="X223" s="245"/>
      <c r="Y223" s="245"/>
      <c r="Z223" s="245"/>
      <c r="AA223" s="245"/>
      <c r="AB223" s="245"/>
      <c r="AC223" s="245"/>
      <c r="AD223" s="245"/>
      <c r="AE223" s="245"/>
      <c r="AF223" s="245"/>
      <c r="AG223" s="245"/>
      <c r="AH223" s="245"/>
      <c r="AI223" s="245"/>
      <c r="AJ223" s="245"/>
      <c r="AK223" s="245"/>
      <c r="AL223" s="245"/>
      <c r="AM223" s="245"/>
    </row>
    <row r="224" spans="1:39" x14ac:dyDescent="0.25">
      <c r="A224" s="50"/>
      <c r="B224" s="50"/>
      <c r="C224" s="127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245"/>
      <c r="P224" s="245"/>
      <c r="Q224" s="245"/>
      <c r="R224" s="245"/>
      <c r="S224" s="245"/>
      <c r="T224" s="245"/>
      <c r="U224" s="245"/>
      <c r="V224" s="245"/>
      <c r="W224" s="245"/>
      <c r="X224" s="245"/>
      <c r="Y224" s="245"/>
      <c r="Z224" s="245"/>
      <c r="AA224" s="245"/>
      <c r="AB224" s="245"/>
      <c r="AC224" s="245"/>
      <c r="AD224" s="245"/>
      <c r="AE224" s="245"/>
      <c r="AF224" s="245"/>
      <c r="AG224" s="245"/>
      <c r="AH224" s="245"/>
      <c r="AI224" s="245"/>
      <c r="AJ224" s="245"/>
      <c r="AK224" s="245"/>
      <c r="AL224" s="245"/>
      <c r="AM224" s="245"/>
    </row>
    <row r="225" spans="1:39" x14ac:dyDescent="0.25">
      <c r="A225" s="50"/>
      <c r="B225" s="50"/>
      <c r="C225" s="127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</row>
    <row r="226" spans="1:39" x14ac:dyDescent="0.25">
      <c r="A226" s="50"/>
      <c r="B226" s="50"/>
      <c r="C226" s="127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245"/>
      <c r="P226" s="245"/>
      <c r="Q226" s="245"/>
      <c r="R226" s="245"/>
      <c r="S226" s="245"/>
      <c r="T226" s="245"/>
      <c r="U226" s="245"/>
      <c r="V226" s="245"/>
      <c r="W226" s="245"/>
      <c r="X226" s="245"/>
      <c r="Y226" s="245"/>
      <c r="Z226" s="245"/>
      <c r="AA226" s="245"/>
      <c r="AB226" s="245"/>
      <c r="AC226" s="245"/>
      <c r="AD226" s="245"/>
      <c r="AE226" s="245"/>
      <c r="AF226" s="245"/>
      <c r="AG226" s="245"/>
      <c r="AH226" s="245"/>
      <c r="AI226" s="245"/>
      <c r="AJ226" s="245"/>
      <c r="AK226" s="245"/>
      <c r="AL226" s="245"/>
      <c r="AM226" s="245"/>
    </row>
    <row r="227" spans="1:39" x14ac:dyDescent="0.25">
      <c r="A227" s="50"/>
      <c r="B227" s="50"/>
      <c r="C227" s="127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245"/>
      <c r="P227" s="245"/>
      <c r="Q227" s="245"/>
      <c r="R227" s="245"/>
      <c r="S227" s="245"/>
      <c r="T227" s="245"/>
      <c r="U227" s="245"/>
      <c r="V227" s="245"/>
      <c r="W227" s="245"/>
      <c r="X227" s="245"/>
      <c r="Y227" s="245"/>
      <c r="Z227" s="245"/>
      <c r="AA227" s="245"/>
      <c r="AB227" s="245"/>
      <c r="AC227" s="245"/>
      <c r="AD227" s="245"/>
      <c r="AE227" s="245"/>
      <c r="AF227" s="245"/>
      <c r="AG227" s="245"/>
      <c r="AH227" s="245"/>
      <c r="AI227" s="245"/>
      <c r="AJ227" s="245"/>
      <c r="AK227" s="245"/>
      <c r="AL227" s="245"/>
      <c r="AM227" s="245"/>
    </row>
    <row r="228" spans="1:39" x14ac:dyDescent="0.25">
      <c r="A228" s="50"/>
      <c r="B228" s="50"/>
      <c r="C228" s="127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245"/>
      <c r="P228" s="245"/>
      <c r="Q228" s="245"/>
      <c r="R228" s="245"/>
      <c r="S228" s="245"/>
      <c r="T228" s="245"/>
      <c r="U228" s="245"/>
      <c r="V228" s="245"/>
      <c r="W228" s="245"/>
      <c r="X228" s="245"/>
      <c r="Y228" s="245"/>
      <c r="Z228" s="245"/>
      <c r="AA228" s="245"/>
      <c r="AB228" s="245"/>
      <c r="AC228" s="245"/>
      <c r="AD228" s="245"/>
      <c r="AE228" s="245"/>
      <c r="AF228" s="245"/>
      <c r="AG228" s="245"/>
      <c r="AH228" s="245"/>
      <c r="AI228" s="245"/>
      <c r="AJ228" s="245"/>
      <c r="AK228" s="245"/>
      <c r="AL228" s="245"/>
      <c r="AM228" s="245"/>
    </row>
    <row r="229" spans="1:39" x14ac:dyDescent="0.25">
      <c r="A229" s="50"/>
      <c r="B229" s="50"/>
      <c r="C229" s="127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245"/>
      <c r="P229" s="245"/>
      <c r="Q229" s="245"/>
      <c r="R229" s="245"/>
      <c r="S229" s="245"/>
      <c r="T229" s="245"/>
      <c r="U229" s="245"/>
      <c r="V229" s="245"/>
      <c r="W229" s="245"/>
      <c r="X229" s="245"/>
      <c r="Y229" s="245"/>
      <c r="Z229" s="245"/>
      <c r="AA229" s="245"/>
      <c r="AB229" s="245"/>
      <c r="AC229" s="245"/>
      <c r="AD229" s="245"/>
      <c r="AE229" s="245"/>
      <c r="AF229" s="245"/>
      <c r="AG229" s="245"/>
      <c r="AH229" s="245"/>
      <c r="AI229" s="245"/>
      <c r="AJ229" s="245"/>
      <c r="AK229" s="245"/>
      <c r="AL229" s="245"/>
      <c r="AM229" s="245"/>
    </row>
    <row r="230" spans="1:39" x14ac:dyDescent="0.25">
      <c r="A230" s="50"/>
      <c r="B230" s="50"/>
      <c r="C230" s="127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245"/>
      <c r="P230" s="245"/>
      <c r="Q230" s="245"/>
      <c r="R230" s="245"/>
      <c r="S230" s="245"/>
      <c r="T230" s="245"/>
      <c r="U230" s="245"/>
      <c r="V230" s="245"/>
      <c r="W230" s="245"/>
      <c r="X230" s="245"/>
      <c r="Y230" s="245"/>
      <c r="Z230" s="245"/>
      <c r="AA230" s="245"/>
      <c r="AB230" s="245"/>
      <c r="AC230" s="245"/>
      <c r="AD230" s="245"/>
      <c r="AE230" s="245"/>
      <c r="AF230" s="245"/>
      <c r="AG230" s="245"/>
      <c r="AH230" s="245"/>
      <c r="AI230" s="245"/>
      <c r="AJ230" s="245"/>
      <c r="AK230" s="245"/>
      <c r="AL230" s="245"/>
      <c r="AM230" s="245"/>
    </row>
    <row r="231" spans="1:39" x14ac:dyDescent="0.25">
      <c r="A231" s="50"/>
      <c r="B231" s="50"/>
      <c r="C231" s="127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245"/>
      <c r="P231" s="245"/>
      <c r="Q231" s="245"/>
      <c r="R231" s="245"/>
      <c r="S231" s="245"/>
      <c r="T231" s="245"/>
      <c r="U231" s="245"/>
      <c r="V231" s="245"/>
      <c r="W231" s="245"/>
      <c r="X231" s="245"/>
      <c r="Y231" s="245"/>
      <c r="Z231" s="245"/>
      <c r="AA231" s="245"/>
      <c r="AB231" s="245"/>
      <c r="AC231" s="245"/>
      <c r="AD231" s="245"/>
      <c r="AE231" s="245"/>
      <c r="AF231" s="245"/>
      <c r="AG231" s="245"/>
      <c r="AH231" s="245"/>
      <c r="AI231" s="245"/>
      <c r="AJ231" s="245"/>
      <c r="AK231" s="245"/>
      <c r="AL231" s="245"/>
      <c r="AM231" s="245"/>
    </row>
    <row r="232" spans="1:39" x14ac:dyDescent="0.25">
      <c r="A232" s="50"/>
      <c r="B232" s="50"/>
      <c r="C232" s="127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245"/>
      <c r="P232" s="245"/>
      <c r="Q232" s="245"/>
      <c r="R232" s="245"/>
      <c r="S232" s="245"/>
      <c r="T232" s="245"/>
      <c r="U232" s="245"/>
      <c r="V232" s="245"/>
      <c r="W232" s="245"/>
      <c r="X232" s="245"/>
      <c r="Y232" s="245"/>
      <c r="Z232" s="245"/>
      <c r="AA232" s="245"/>
      <c r="AB232" s="245"/>
      <c r="AC232" s="245"/>
      <c r="AD232" s="245"/>
      <c r="AE232" s="245"/>
      <c r="AF232" s="245"/>
      <c r="AG232" s="245"/>
      <c r="AH232" s="245"/>
      <c r="AI232" s="245"/>
      <c r="AJ232" s="245"/>
      <c r="AK232" s="245"/>
      <c r="AL232" s="245"/>
      <c r="AM232" s="245"/>
    </row>
    <row r="233" spans="1:39" x14ac:dyDescent="0.25">
      <c r="A233" s="50"/>
      <c r="B233" s="50"/>
      <c r="C233" s="127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245"/>
      <c r="P233" s="245"/>
      <c r="Q233" s="245"/>
      <c r="R233" s="245"/>
      <c r="S233" s="245"/>
      <c r="T233" s="245"/>
      <c r="U233" s="245"/>
      <c r="V233" s="245"/>
      <c r="W233" s="245"/>
      <c r="X233" s="245"/>
      <c r="Y233" s="245"/>
      <c r="Z233" s="245"/>
      <c r="AA233" s="245"/>
      <c r="AB233" s="245"/>
      <c r="AC233" s="245"/>
      <c r="AD233" s="245"/>
      <c r="AE233" s="245"/>
      <c r="AF233" s="245"/>
      <c r="AG233" s="245"/>
      <c r="AH233" s="245"/>
      <c r="AI233" s="245"/>
      <c r="AJ233" s="245"/>
      <c r="AK233" s="245"/>
      <c r="AL233" s="245"/>
      <c r="AM233" s="245"/>
    </row>
    <row r="234" spans="1:39" x14ac:dyDescent="0.25">
      <c r="A234" s="50"/>
      <c r="B234" s="50"/>
      <c r="C234" s="127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245"/>
      <c r="P234" s="245"/>
      <c r="Q234" s="245"/>
      <c r="R234" s="245"/>
      <c r="S234" s="245"/>
      <c r="T234" s="245"/>
      <c r="U234" s="245"/>
      <c r="V234" s="245"/>
      <c r="W234" s="245"/>
      <c r="X234" s="245"/>
      <c r="Y234" s="245"/>
      <c r="Z234" s="245"/>
      <c r="AA234" s="245"/>
      <c r="AB234" s="245"/>
      <c r="AC234" s="245"/>
      <c r="AD234" s="245"/>
      <c r="AE234" s="245"/>
      <c r="AF234" s="245"/>
      <c r="AG234" s="245"/>
      <c r="AH234" s="245"/>
      <c r="AI234" s="245"/>
      <c r="AJ234" s="245"/>
      <c r="AK234" s="245"/>
      <c r="AL234" s="245"/>
      <c r="AM234" s="245"/>
    </row>
    <row r="235" spans="1:39" x14ac:dyDescent="0.25">
      <c r="A235" s="50"/>
      <c r="B235" s="50"/>
      <c r="C235" s="127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245"/>
      <c r="P235" s="245"/>
      <c r="Q235" s="245"/>
      <c r="R235" s="245"/>
      <c r="S235" s="245"/>
      <c r="T235" s="245"/>
      <c r="U235" s="245"/>
      <c r="V235" s="245"/>
      <c r="W235" s="245"/>
      <c r="X235" s="245"/>
      <c r="Y235" s="245"/>
      <c r="Z235" s="245"/>
      <c r="AA235" s="245"/>
      <c r="AB235" s="245"/>
      <c r="AC235" s="245"/>
      <c r="AD235" s="245"/>
      <c r="AE235" s="245"/>
      <c r="AF235" s="245"/>
      <c r="AG235" s="245"/>
      <c r="AH235" s="245"/>
      <c r="AI235" s="245"/>
      <c r="AJ235" s="245"/>
      <c r="AK235" s="245"/>
      <c r="AL235" s="245"/>
      <c r="AM235" s="245"/>
    </row>
    <row r="236" spans="1:39" x14ac:dyDescent="0.25">
      <c r="A236" s="50"/>
      <c r="B236" s="50"/>
      <c r="C236" s="127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245"/>
      <c r="P236" s="245"/>
      <c r="Q236" s="245"/>
      <c r="R236" s="245"/>
      <c r="S236" s="245"/>
      <c r="T236" s="245"/>
      <c r="U236" s="245"/>
      <c r="V236" s="245"/>
      <c r="W236" s="245"/>
      <c r="X236" s="245"/>
      <c r="Y236" s="245"/>
      <c r="Z236" s="245"/>
      <c r="AA236" s="245"/>
      <c r="AB236" s="245"/>
      <c r="AC236" s="245"/>
      <c r="AD236" s="245"/>
      <c r="AE236" s="245"/>
      <c r="AF236" s="245"/>
      <c r="AG236" s="245"/>
      <c r="AH236" s="245"/>
      <c r="AI236" s="245"/>
      <c r="AJ236" s="245"/>
      <c r="AK236" s="245"/>
      <c r="AL236" s="245"/>
      <c r="AM236" s="245"/>
    </row>
    <row r="237" spans="1:39" x14ac:dyDescent="0.25">
      <c r="A237" s="50"/>
      <c r="B237" s="50"/>
      <c r="C237" s="127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245"/>
      <c r="P237" s="245"/>
      <c r="Q237" s="245"/>
      <c r="R237" s="245"/>
      <c r="S237" s="245"/>
      <c r="T237" s="245"/>
      <c r="U237" s="245"/>
      <c r="V237" s="245"/>
      <c r="W237" s="245"/>
      <c r="X237" s="245"/>
      <c r="Y237" s="245"/>
      <c r="Z237" s="245"/>
      <c r="AA237" s="245"/>
      <c r="AB237" s="245"/>
      <c r="AC237" s="245"/>
      <c r="AD237" s="245"/>
      <c r="AE237" s="245"/>
      <c r="AF237" s="245"/>
      <c r="AG237" s="245"/>
      <c r="AH237" s="245"/>
      <c r="AI237" s="245"/>
      <c r="AJ237" s="245"/>
      <c r="AK237" s="245"/>
      <c r="AL237" s="245"/>
      <c r="AM237" s="245"/>
    </row>
    <row r="238" spans="1:39" x14ac:dyDescent="0.25">
      <c r="A238" s="50"/>
      <c r="B238" s="50"/>
      <c r="C238" s="127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245"/>
      <c r="P238" s="245"/>
      <c r="Q238" s="245"/>
      <c r="R238" s="245"/>
      <c r="S238" s="245"/>
      <c r="T238" s="245"/>
      <c r="U238" s="245"/>
      <c r="V238" s="245"/>
      <c r="W238" s="245"/>
      <c r="X238" s="245"/>
      <c r="Y238" s="245"/>
      <c r="Z238" s="245"/>
      <c r="AA238" s="245"/>
      <c r="AB238" s="245"/>
      <c r="AC238" s="245"/>
      <c r="AD238" s="245"/>
      <c r="AE238" s="245"/>
      <c r="AF238" s="245"/>
      <c r="AG238" s="245"/>
      <c r="AH238" s="245"/>
      <c r="AI238" s="245"/>
      <c r="AJ238" s="245"/>
      <c r="AK238" s="245"/>
      <c r="AL238" s="245"/>
      <c r="AM238" s="245"/>
    </row>
    <row r="239" spans="1:39" x14ac:dyDescent="0.25">
      <c r="A239" s="50"/>
      <c r="B239" s="50"/>
      <c r="C239" s="127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245"/>
      <c r="P239" s="245"/>
      <c r="Q239" s="245"/>
      <c r="R239" s="245"/>
      <c r="S239" s="245"/>
      <c r="T239" s="245"/>
      <c r="U239" s="245"/>
      <c r="V239" s="245"/>
      <c r="W239" s="245"/>
      <c r="X239" s="245"/>
      <c r="Y239" s="245"/>
      <c r="Z239" s="245"/>
      <c r="AA239" s="245"/>
      <c r="AB239" s="245"/>
      <c r="AC239" s="245"/>
      <c r="AD239" s="245"/>
      <c r="AE239" s="245"/>
      <c r="AF239" s="245"/>
      <c r="AG239" s="245"/>
      <c r="AH239" s="245"/>
      <c r="AI239" s="245"/>
      <c r="AJ239" s="245"/>
      <c r="AK239" s="245"/>
      <c r="AL239" s="245"/>
      <c r="AM239" s="245"/>
    </row>
    <row r="240" spans="1:39" x14ac:dyDescent="0.25">
      <c r="A240" s="50"/>
      <c r="B240" s="50"/>
      <c r="C240" s="127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245"/>
      <c r="P240" s="245"/>
      <c r="Q240" s="245"/>
      <c r="R240" s="245"/>
      <c r="S240" s="245"/>
      <c r="T240" s="245"/>
      <c r="U240" s="245"/>
      <c r="V240" s="245"/>
      <c r="W240" s="245"/>
      <c r="X240" s="245"/>
      <c r="Y240" s="245"/>
      <c r="Z240" s="245"/>
      <c r="AA240" s="245"/>
      <c r="AB240" s="245"/>
      <c r="AC240" s="245"/>
      <c r="AD240" s="245"/>
      <c r="AE240" s="245"/>
      <c r="AF240" s="245"/>
      <c r="AG240" s="245"/>
      <c r="AH240" s="245"/>
      <c r="AI240" s="245"/>
      <c r="AJ240" s="245"/>
      <c r="AK240" s="245"/>
      <c r="AL240" s="245"/>
      <c r="AM240" s="245"/>
    </row>
    <row r="241" spans="1:39" x14ac:dyDescent="0.25">
      <c r="A241" s="50"/>
      <c r="B241" s="50"/>
      <c r="C241" s="127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245"/>
      <c r="P241" s="245"/>
      <c r="Q241" s="245"/>
      <c r="R241" s="245"/>
      <c r="S241" s="245"/>
      <c r="T241" s="245"/>
      <c r="U241" s="245"/>
      <c r="V241" s="245"/>
      <c r="W241" s="245"/>
      <c r="X241" s="245"/>
      <c r="Y241" s="245"/>
      <c r="Z241" s="245"/>
      <c r="AA241" s="245"/>
      <c r="AB241" s="245"/>
      <c r="AC241" s="245"/>
      <c r="AD241" s="245"/>
      <c r="AE241" s="245"/>
      <c r="AF241" s="245"/>
      <c r="AG241" s="245"/>
      <c r="AH241" s="245"/>
      <c r="AI241" s="245"/>
      <c r="AJ241" s="245"/>
      <c r="AK241" s="245"/>
      <c r="AL241" s="245"/>
      <c r="AM241" s="245"/>
    </row>
    <row r="242" spans="1:39" x14ac:dyDescent="0.25">
      <c r="A242" s="50"/>
      <c r="B242" s="50"/>
      <c r="C242" s="127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245"/>
      <c r="P242" s="245"/>
      <c r="Q242" s="245"/>
      <c r="R242" s="245"/>
      <c r="S242" s="245"/>
      <c r="T242" s="245"/>
      <c r="U242" s="245"/>
      <c r="V242" s="245"/>
      <c r="W242" s="245"/>
      <c r="X242" s="245"/>
      <c r="Y242" s="245"/>
      <c r="Z242" s="245"/>
      <c r="AA242" s="245"/>
      <c r="AB242" s="245"/>
      <c r="AC242" s="245"/>
      <c r="AD242" s="245"/>
      <c r="AE242" s="245"/>
      <c r="AF242" s="245"/>
      <c r="AG242" s="245"/>
      <c r="AH242" s="245"/>
      <c r="AI242" s="245"/>
      <c r="AJ242" s="245"/>
      <c r="AK242" s="245"/>
      <c r="AL242" s="245"/>
      <c r="AM242" s="245"/>
    </row>
    <row r="243" spans="1:39" x14ac:dyDescent="0.25">
      <c r="A243" s="50"/>
      <c r="B243" s="50"/>
      <c r="C243" s="127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245"/>
      <c r="P243" s="245"/>
      <c r="Q243" s="245"/>
      <c r="R243" s="245"/>
      <c r="S243" s="245"/>
      <c r="T243" s="245"/>
      <c r="U243" s="245"/>
      <c r="V243" s="245"/>
      <c r="W243" s="245"/>
      <c r="X243" s="245"/>
      <c r="Y243" s="245"/>
      <c r="Z243" s="245"/>
      <c r="AA243" s="245"/>
      <c r="AB243" s="245"/>
      <c r="AC243" s="245"/>
      <c r="AD243" s="245"/>
      <c r="AE243" s="245"/>
      <c r="AF243" s="245"/>
      <c r="AG243" s="245"/>
      <c r="AH243" s="245"/>
      <c r="AI243" s="245"/>
      <c r="AJ243" s="245"/>
      <c r="AK243" s="245"/>
      <c r="AL243" s="245"/>
      <c r="AM243" s="245"/>
    </row>
    <row r="244" spans="1:39" x14ac:dyDescent="0.25">
      <c r="A244" s="50"/>
      <c r="B244" s="50"/>
      <c r="C244" s="127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245"/>
      <c r="P244" s="245"/>
      <c r="Q244" s="245"/>
      <c r="R244" s="245"/>
      <c r="S244" s="245"/>
      <c r="T244" s="245"/>
      <c r="U244" s="245"/>
      <c r="V244" s="245"/>
      <c r="W244" s="245"/>
      <c r="X244" s="245"/>
      <c r="Y244" s="245"/>
      <c r="Z244" s="245"/>
      <c r="AA244" s="245"/>
      <c r="AB244" s="245"/>
      <c r="AC244" s="245"/>
      <c r="AD244" s="245"/>
      <c r="AE244" s="245"/>
      <c r="AF244" s="245"/>
      <c r="AG244" s="245"/>
      <c r="AH244" s="245"/>
      <c r="AI244" s="245"/>
      <c r="AJ244" s="245"/>
      <c r="AK244" s="245"/>
      <c r="AL244" s="245"/>
      <c r="AM244" s="245"/>
    </row>
    <row r="245" spans="1:39" x14ac:dyDescent="0.25">
      <c r="A245" s="50"/>
      <c r="B245" s="50"/>
      <c r="C245" s="127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245"/>
      <c r="P245" s="245"/>
      <c r="Q245" s="245"/>
      <c r="R245" s="245"/>
      <c r="S245" s="245"/>
      <c r="T245" s="245"/>
      <c r="U245" s="245"/>
      <c r="V245" s="245"/>
      <c r="W245" s="245"/>
      <c r="X245" s="245"/>
      <c r="Y245" s="245"/>
      <c r="Z245" s="245"/>
      <c r="AA245" s="245"/>
      <c r="AB245" s="245"/>
      <c r="AC245" s="245"/>
      <c r="AD245" s="245"/>
      <c r="AE245" s="245"/>
      <c r="AF245" s="245"/>
      <c r="AG245" s="245"/>
      <c r="AH245" s="245"/>
      <c r="AI245" s="245"/>
      <c r="AJ245" s="245"/>
      <c r="AK245" s="245"/>
      <c r="AL245" s="245"/>
      <c r="AM245" s="245"/>
    </row>
    <row r="246" spans="1:39" x14ac:dyDescent="0.25">
      <c r="A246" s="50"/>
      <c r="B246" s="50"/>
      <c r="C246" s="127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245"/>
      <c r="P246" s="245"/>
      <c r="Q246" s="245"/>
      <c r="R246" s="245"/>
      <c r="S246" s="245"/>
      <c r="T246" s="245"/>
      <c r="U246" s="245"/>
      <c r="V246" s="245"/>
      <c r="W246" s="245"/>
      <c r="X246" s="245"/>
      <c r="Y246" s="245"/>
      <c r="Z246" s="245"/>
      <c r="AA246" s="245"/>
      <c r="AB246" s="245"/>
      <c r="AC246" s="245"/>
      <c r="AD246" s="245"/>
      <c r="AE246" s="245"/>
      <c r="AF246" s="245"/>
      <c r="AG246" s="245"/>
      <c r="AH246" s="245"/>
      <c r="AI246" s="245"/>
      <c r="AJ246" s="245"/>
      <c r="AK246" s="245"/>
      <c r="AL246" s="245"/>
      <c r="AM246" s="245"/>
    </row>
    <row r="247" spans="1:39" x14ac:dyDescent="0.25">
      <c r="V247" s="245"/>
      <c r="W247" s="245"/>
      <c r="X247" s="245"/>
    </row>
  </sheetData>
  <autoFilter ref="A6:C192" xr:uid="{00000000-0009-0000-0000-000000000000}"/>
  <sortState xmlns:xlrd2="http://schemas.microsoft.com/office/spreadsheetml/2017/richdata2" ref="A9:H20">
    <sortCondition ref="A9:A20"/>
    <sortCondition ref="C9:C20" customList="V-NE,V,K,ohne"/>
    <sortCondition ref="B9:B20"/>
  </sortState>
  <conditionalFormatting sqref="D4:M4">
    <cfRule type="cellIs" dxfId="41" priority="33" operator="lessThan">
      <formula>-1</formula>
    </cfRule>
    <cfRule type="cellIs" dxfId="40" priority="34" operator="greaterThan">
      <formula>1</formula>
    </cfRule>
  </conditionalFormatting>
  <conditionalFormatting sqref="N4">
    <cfRule type="cellIs" dxfId="39" priority="31" operator="lessThan">
      <formula>-0.5</formula>
    </cfRule>
    <cfRule type="cellIs" dxfId="38" priority="32" operator="greaterThan">
      <formula>0.5</formula>
    </cfRule>
  </conditionalFormatting>
  <conditionalFormatting sqref="P17">
    <cfRule type="cellIs" dxfId="37" priority="28" operator="equal">
      <formula>"LIMIT erreicht"</formula>
    </cfRule>
  </conditionalFormatting>
  <conditionalFormatting sqref="R16">
    <cfRule type="cellIs" dxfId="36" priority="26" operator="lessThanOrEqual">
      <formula>$C$2</formula>
    </cfRule>
  </conditionalFormatting>
  <conditionalFormatting sqref="C7:C9 C17:C192">
    <cfRule type="expression" dxfId="35" priority="21">
      <formula>C7="V"</formula>
    </cfRule>
    <cfRule type="expression" dxfId="34" priority="22">
      <formula>OR($C7="K",$C7="K-NE")</formula>
    </cfRule>
  </conditionalFormatting>
  <conditionalFormatting sqref="I30:M31">
    <cfRule type="expression" dxfId="33" priority="375">
      <formula>OR($C18="K",$C18="PK")</formula>
    </cfRule>
  </conditionalFormatting>
  <conditionalFormatting sqref="A7:H9 H10:H13 B14:B16 A17:H192 D14:H16">
    <cfRule type="expression" dxfId="32" priority="23">
      <formula>OR($C7="K",$C7="PK",$C7="K-NE")</formula>
    </cfRule>
  </conditionalFormatting>
  <conditionalFormatting sqref="S17">
    <cfRule type="expression" dxfId="31" priority="9">
      <formula>$S$17="Limit erreicht"</formula>
    </cfRule>
  </conditionalFormatting>
  <conditionalFormatting sqref="A7:H9 H10:H13 B14:B16 A17:H188 D14:H16">
    <cfRule type="expression" dxfId="30" priority="19">
      <formula>$C7="ohne"</formula>
    </cfRule>
    <cfRule type="expression" dxfId="29" priority="20">
      <formula>OR($C7="PK",$C7="PV")</formula>
    </cfRule>
  </conditionalFormatting>
  <conditionalFormatting sqref="C2">
    <cfRule type="expression" dxfId="28" priority="8">
      <formula>TODAY()&gt;=C2</formula>
    </cfRule>
  </conditionalFormatting>
  <conditionalFormatting sqref="D5:M5">
    <cfRule type="cellIs" dxfId="27" priority="6" operator="lessThan">
      <formula>-1</formula>
    </cfRule>
    <cfRule type="cellIs" dxfId="26" priority="7" operator="greaterThan">
      <formula>1</formula>
    </cfRule>
  </conditionalFormatting>
  <conditionalFormatting sqref="C10:C16">
    <cfRule type="expression" dxfId="25" priority="3">
      <formula>C10="V"</formula>
    </cfRule>
    <cfRule type="expression" dxfId="24" priority="4">
      <formula>OR($C10="K",$C10="K-NE")</formula>
    </cfRule>
  </conditionalFormatting>
  <conditionalFormatting sqref="B12:B13 A12:A16 D12:G13 C11:C16 A10:G11">
    <cfRule type="expression" dxfId="23" priority="5">
      <formula>OR($C10="K",$C10="PK",$C10="K-NE")</formula>
    </cfRule>
  </conditionalFormatting>
  <conditionalFormatting sqref="B12:B13 A12:A16 D12:G13 C11:C16 A10:G11">
    <cfRule type="expression" dxfId="22" priority="1">
      <formula>$C10="ohne"</formula>
    </cfRule>
    <cfRule type="expression" dxfId="21" priority="2">
      <formula>OR($C10="PK",$C10="PV")</formula>
    </cfRule>
  </conditionalFormatting>
  <dataValidations count="2">
    <dataValidation type="list" allowBlank="1" showInputMessage="1" showErrorMessage="1" sqref="C7:C8" xr:uid="{B81EBDBC-E3F9-4786-A3D3-5BDA5C0D6ED2}">
      <formula1>"K,V"</formula1>
    </dataValidation>
    <dataValidation type="list" allowBlank="1" showInputMessage="1" showErrorMessage="1" sqref="C9:C192" xr:uid="{C603B184-8C1B-438D-BE1B-5A8268129DBE}">
      <formula1>"K,V,K-NE,V-NE,PK,PV,ohne"</formula1>
    </dataValidation>
  </dataValidations>
  <pageMargins left="0.7" right="0.7" top="0.78740157499999996" bottom="0.78740157499999996" header="0.3" footer="0.3"/>
  <pageSetup paperSize="9" orientation="portrait" horizontalDpi="1200" verticalDpi="1200" r:id="rId1"/>
  <customProperties>
    <customPr name="_pios_id" r:id="rId2"/>
    <customPr name="ID" r:id="rId3"/>
  </customProperties>
  <drawing r:id="rId4"/>
  <legacyDrawing r:id="rId5"/>
  <controls>
    <mc:AlternateContent xmlns:mc="http://schemas.openxmlformats.org/markup-compatibility/2006">
      <mc:Choice Requires="x14">
        <control shapeId="9226" r:id="rId6" name="CommandButton2">
          <controlPr defaultSize="0" autoLine="0" autoPict="0" r:id="rId7">
            <anchor moveWithCells="1">
              <from>
                <xdr:col>15</xdr:col>
                <xdr:colOff>28575</xdr:colOff>
                <xdr:row>2</xdr:row>
                <xdr:rowOff>76200</xdr:rowOff>
              </from>
              <to>
                <xdr:col>17</xdr:col>
                <xdr:colOff>790575</xdr:colOff>
                <xdr:row>4</xdr:row>
                <xdr:rowOff>28575</xdr:rowOff>
              </to>
            </anchor>
          </controlPr>
        </control>
      </mc:Choice>
      <mc:Fallback>
        <control shapeId="9226" r:id="rId6" name="CommandButton2"/>
      </mc:Fallback>
    </mc:AlternateContent>
    <mc:AlternateContent xmlns:mc="http://schemas.openxmlformats.org/markup-compatibility/2006">
      <mc:Choice Requires="x14">
        <control shapeId="9227" r:id="rId8" name="CommandButton3">
          <controlPr defaultSize="0" autoLine="0" autoPict="0" r:id="rId9">
            <anchor moveWithCells="1">
              <from>
                <xdr:col>15</xdr:col>
                <xdr:colOff>28575</xdr:colOff>
                <xdr:row>192</xdr:row>
                <xdr:rowOff>0</xdr:rowOff>
              </from>
              <to>
                <xdr:col>17</xdr:col>
                <xdr:colOff>800100</xdr:colOff>
                <xdr:row>194</xdr:row>
                <xdr:rowOff>38100</xdr:rowOff>
              </to>
            </anchor>
          </controlPr>
        </control>
      </mc:Choice>
      <mc:Fallback>
        <control shapeId="9227" r:id="rId8" name="CommandButton3"/>
      </mc:Fallback>
    </mc:AlternateContent>
    <mc:AlternateContent xmlns:mc="http://schemas.openxmlformats.org/markup-compatibility/2006">
      <mc:Choice Requires="x14">
        <control shapeId="9235" r:id="rId10" name="CommandButton10">
          <controlPr defaultSize="0" autoLine="0" autoPict="0" r:id="rId11">
            <anchor moveWithCells="1">
              <from>
                <xdr:col>17</xdr:col>
                <xdr:colOff>1133475</xdr:colOff>
                <xdr:row>11</xdr:row>
                <xdr:rowOff>28575</xdr:rowOff>
              </from>
              <to>
                <xdr:col>20</xdr:col>
                <xdr:colOff>152400</xdr:colOff>
                <xdr:row>12</xdr:row>
                <xdr:rowOff>180975</xdr:rowOff>
              </to>
            </anchor>
          </controlPr>
        </control>
      </mc:Choice>
      <mc:Fallback>
        <control shapeId="9235" r:id="rId10" name="CommandButton10"/>
      </mc:Fallback>
    </mc:AlternateContent>
    <mc:AlternateContent xmlns:mc="http://schemas.openxmlformats.org/markup-compatibility/2006">
      <mc:Choice Requires="x14">
        <control shapeId="9224" r:id="rId12" name="Button 8">
          <controlPr defaultSize="0" print="0" autoFill="0" autoPict="0" macro="[0]!AufraeumenPositionsliste">
            <anchor moveWithCells="1">
              <from>
                <xdr:col>15</xdr:col>
                <xdr:colOff>28575</xdr:colOff>
                <xdr:row>4</xdr:row>
                <xdr:rowOff>152400</xdr:rowOff>
              </from>
              <to>
                <xdr:col>17</xdr:col>
                <xdr:colOff>790575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1" r:id="rId13" name="Button 15">
          <controlPr defaultSize="0" print="0" autoFill="0" autoPict="0" macro="[0]!PFC_Bericht">
            <anchor moveWithCells="1">
              <from>
                <xdr:col>15</xdr:col>
                <xdr:colOff>28575</xdr:colOff>
                <xdr:row>8</xdr:row>
                <xdr:rowOff>257175</xdr:rowOff>
              </from>
              <to>
                <xdr:col>17</xdr:col>
                <xdr:colOff>800100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4" r:id="rId14" name="Button 18">
          <controlPr defaultSize="0" print="0" autoFill="0" autoPict="0" macro="[0]!Open_Kreditreport">
            <anchor moveWithCells="1" sizeWithCells="1">
              <from>
                <xdr:col>18</xdr:col>
                <xdr:colOff>28575</xdr:colOff>
                <xdr:row>4</xdr:row>
                <xdr:rowOff>142875</xdr:rowOff>
              </from>
              <to>
                <xdr:col>20</xdr:col>
                <xdr:colOff>66675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7" r:id="rId15" name="Button 21">
          <controlPr defaultSize="0" print="0" autoFill="0" autoPict="0" macro="[0]!LogBuch">
            <anchor moveWithCells="1" sizeWithCells="1">
              <from>
                <xdr:col>18</xdr:col>
                <xdr:colOff>0</xdr:colOff>
                <xdr:row>2</xdr:row>
                <xdr:rowOff>66675</xdr:rowOff>
              </from>
              <to>
                <xdr:col>20</xdr:col>
                <xdr:colOff>66675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2" r:id="rId16" name="Button 26">
          <controlPr defaultSize="0" print="0" autoFill="0" autoPict="0" macro="[0]!PFCs_Oeffnenbutton">
            <anchor moveWithCells="1">
              <from>
                <xdr:col>18</xdr:col>
                <xdr:colOff>28575</xdr:colOff>
                <xdr:row>9</xdr:row>
                <xdr:rowOff>0</xdr:rowOff>
              </from>
              <to>
                <xdr:col>20</xdr:col>
                <xdr:colOff>104775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9" r:id="rId17" name="Button 33">
          <controlPr defaultSize="0" print="0" autoFill="0" autoPict="0" macro="[0]!ImportManagementReport_ROBO" altText="Mgmt-Report + Settl.-Preise einlesen ">
            <anchor moveWithCells="1" sizeWithCells="1">
              <from>
                <xdr:col>15</xdr:col>
                <xdr:colOff>28575</xdr:colOff>
                <xdr:row>6</xdr:row>
                <xdr:rowOff>180975</xdr:rowOff>
              </from>
              <to>
                <xdr:col>17</xdr:col>
                <xdr:colOff>800100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50" r:id="rId18" name="Button 34">
          <controlPr defaultSize="0" print="0" autoFill="0" autoPict="0" macro="[0]!Open_Managementreport_ROBO">
            <anchor moveWithCells="1" sizeWithCells="1">
              <from>
                <xdr:col>18</xdr:col>
                <xdr:colOff>28575</xdr:colOff>
                <xdr:row>6</xdr:row>
                <xdr:rowOff>142875</xdr:rowOff>
              </from>
              <to>
                <xdr:col>20</xdr:col>
                <xdr:colOff>66675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56" r:id="rId19" name="Button 40">
          <controlPr defaultSize="0" print="0" autoFill="0" autoPict="0" macro="[0]!DailyMailVertrieb">
            <anchor moveWithCells="1" sizeWithCells="1">
              <from>
                <xdr:col>15</xdr:col>
                <xdr:colOff>38100</xdr:colOff>
                <xdr:row>10</xdr:row>
                <xdr:rowOff>257175</xdr:rowOff>
              </from>
              <to>
                <xdr:col>17</xdr:col>
                <xdr:colOff>828675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57" r:id="rId20" name="Button 41">
          <controlPr defaultSize="0" print="0" autoFill="0" autoPict="0" macro="[0]!OPPast_EinAusblenden">
            <anchor moveWithCells="1" sizeWithCells="1">
              <from>
                <xdr:col>1</xdr:col>
                <xdr:colOff>828675</xdr:colOff>
                <xdr:row>4</xdr:row>
                <xdr:rowOff>28575</xdr:rowOff>
              </from>
              <to>
                <xdr:col>1</xdr:col>
                <xdr:colOff>1819275</xdr:colOff>
                <xdr:row>4</xdr:row>
                <xdr:rowOff>219075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3" id="{B0C5759E-6F7A-448D-8735-84BAFEE023AC}">
            <xm:f>SUM(Limitorder!$E$5:$E$1048576)&lt;&gt;0</xm:f>
            <x14:dxf>
              <font>
                <color theme="5"/>
              </font>
            </x14:dxf>
          </x14:cfRule>
          <xm:sqref>O17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4" tint="-0.499984740745262"/>
  </sheetPr>
  <dimension ref="A1:AF71"/>
  <sheetViews>
    <sheetView showGridLines="0" topLeftCell="A8" zoomScaleNormal="100" workbookViewId="0">
      <selection activeCell="L16" sqref="L16"/>
    </sheetView>
  </sheetViews>
  <sheetFormatPr baseColWidth="10" defaultRowHeight="15" x14ac:dyDescent="0.25"/>
  <cols>
    <col min="1" max="1" width="12" customWidth="1"/>
    <col min="3" max="5" width="11.5703125" customWidth="1"/>
    <col min="6" max="6" width="10.85546875" customWidth="1"/>
    <col min="7" max="7" width="10.5703125" customWidth="1"/>
    <col min="8" max="8" width="13.140625" customWidth="1"/>
    <col min="9" max="9" width="11.42578125" style="129" customWidth="1"/>
    <col min="10" max="10" width="11.42578125" style="129"/>
    <col min="11" max="11" width="9.85546875" customWidth="1"/>
    <col min="12" max="12" width="18.5703125" customWidth="1"/>
    <col min="15" max="15" width="7.42578125" customWidth="1"/>
    <col min="16" max="16" width="6.85546875" customWidth="1"/>
    <col min="17" max="17" width="8.42578125" customWidth="1"/>
    <col min="18" max="18" width="12.42578125" customWidth="1"/>
  </cols>
  <sheetData>
    <row r="1" spans="1:32" ht="14.85" customHeight="1" x14ac:dyDescent="0.25">
      <c r="A1" s="367" t="s">
        <v>85</v>
      </c>
      <c r="B1" s="367"/>
      <c r="C1" s="367"/>
      <c r="D1" s="367"/>
      <c r="E1" s="50"/>
      <c r="F1" s="50"/>
      <c r="G1" s="50"/>
      <c r="H1" s="50"/>
      <c r="I1" s="140"/>
      <c r="J1" s="140"/>
      <c r="K1" s="50"/>
      <c r="L1" s="50"/>
      <c r="M1" s="50"/>
      <c r="N1" s="50"/>
      <c r="O1" s="50"/>
      <c r="P1" s="50"/>
      <c r="Q1" s="50"/>
      <c r="R1" s="50"/>
    </row>
    <row r="2" spans="1:32" ht="14.85" customHeight="1" x14ac:dyDescent="0.25">
      <c r="A2" s="367"/>
      <c r="B2" s="367"/>
      <c r="C2" s="367"/>
      <c r="D2" s="367"/>
      <c r="E2" s="50"/>
      <c r="F2" s="50"/>
      <c r="G2" s="50"/>
      <c r="H2" s="50"/>
      <c r="I2" s="140"/>
      <c r="J2" s="140"/>
      <c r="K2" s="50"/>
      <c r="L2" s="50"/>
      <c r="M2" s="50"/>
      <c r="N2" s="50"/>
      <c r="O2" s="50"/>
      <c r="P2" s="50"/>
      <c r="Q2" s="50"/>
      <c r="R2" s="50"/>
    </row>
    <row r="3" spans="1:32" ht="6" customHeight="1" x14ac:dyDescent="0.25">
      <c r="A3" s="50"/>
      <c r="B3" s="50"/>
      <c r="C3" s="50"/>
      <c r="D3" s="50"/>
      <c r="E3" s="50"/>
      <c r="F3" s="50"/>
      <c r="G3" s="50"/>
      <c r="H3" s="50"/>
      <c r="I3" s="140"/>
      <c r="J3" s="140"/>
      <c r="K3" s="50"/>
      <c r="L3" s="50"/>
      <c r="M3" s="50"/>
      <c r="N3" s="50"/>
      <c r="O3" s="50"/>
      <c r="P3" s="50"/>
      <c r="Q3" s="50"/>
      <c r="R3" s="50"/>
    </row>
    <row r="4" spans="1:32" ht="9.6" customHeight="1" x14ac:dyDescent="0.25">
      <c r="A4" s="50"/>
      <c r="B4" s="50"/>
      <c r="C4" s="50"/>
      <c r="D4" s="50"/>
      <c r="E4" s="50"/>
      <c r="F4" s="50"/>
      <c r="G4" s="50"/>
      <c r="H4" s="50"/>
      <c r="I4" s="140"/>
      <c r="J4" s="140"/>
      <c r="K4" s="50"/>
      <c r="L4" s="50"/>
      <c r="M4" s="50"/>
      <c r="N4" s="50"/>
      <c r="O4" s="50"/>
      <c r="P4" s="50"/>
      <c r="Q4" s="50"/>
      <c r="R4" s="50"/>
    </row>
    <row r="5" spans="1:32" ht="27.75" customHeight="1" x14ac:dyDescent="0.25">
      <c r="A5" s="181" t="s">
        <v>74</v>
      </c>
      <c r="B5" s="181"/>
      <c r="C5" s="51"/>
      <c r="D5" s="51"/>
      <c r="E5" s="51"/>
      <c r="F5" s="51"/>
      <c r="G5" s="51"/>
      <c r="H5" s="51"/>
      <c r="I5" s="140"/>
      <c r="J5" s="140"/>
      <c r="K5" s="50"/>
      <c r="L5" s="50"/>
      <c r="M5" s="50"/>
      <c r="N5" s="50"/>
      <c r="O5" s="50"/>
      <c r="P5" s="50"/>
      <c r="Q5" s="50"/>
      <c r="R5" s="50"/>
    </row>
    <row r="6" spans="1:32" ht="31.5" hidden="1" customHeight="1" x14ac:dyDescent="0.25">
      <c r="A6" s="181"/>
      <c r="B6" s="181"/>
      <c r="C6" s="51"/>
      <c r="D6" s="51"/>
      <c r="E6" s="51"/>
      <c r="F6" s="51"/>
      <c r="G6" s="51"/>
      <c r="H6" s="51"/>
      <c r="I6" s="140"/>
      <c r="J6" s="140"/>
      <c r="K6" s="50"/>
      <c r="L6" s="50"/>
      <c r="M6" s="50"/>
      <c r="N6" s="50"/>
      <c r="O6" s="50"/>
      <c r="P6" s="50"/>
      <c r="Q6" s="50"/>
      <c r="R6" s="50"/>
    </row>
    <row r="7" spans="1:32" x14ac:dyDescent="0.25">
      <c r="A7" s="51"/>
      <c r="B7" s="51"/>
      <c r="C7" s="51"/>
      <c r="D7" s="51"/>
      <c r="E7" s="51"/>
      <c r="F7" s="51"/>
      <c r="G7" s="51"/>
      <c r="H7" s="51"/>
      <c r="I7" s="140"/>
      <c r="J7" s="140"/>
      <c r="K7" s="50"/>
      <c r="L7" s="50"/>
      <c r="M7" s="50"/>
      <c r="N7" s="50"/>
      <c r="O7" s="50"/>
      <c r="P7" s="50"/>
      <c r="Q7" s="50"/>
      <c r="R7" s="50"/>
    </row>
    <row r="8" spans="1:32" ht="18" customHeight="1" x14ac:dyDescent="0.25">
      <c r="A8" s="111" t="str">
        <f>'Position Frontjahre'!A6</f>
        <v>Datum</v>
      </c>
      <c r="B8" s="111"/>
      <c r="C8" s="112">
        <f>'Position Frontjahre'!C2</f>
        <v>46205.052083333336</v>
      </c>
      <c r="D8" s="113">
        <f>'Position Frontjahre'!E2</f>
        <v>2027</v>
      </c>
      <c r="E8" s="113">
        <f>'Position Frontjahre'!F2</f>
        <v>2028</v>
      </c>
      <c r="F8" s="113">
        <f>'Position Frontjahre'!G2</f>
        <v>2029</v>
      </c>
      <c r="G8" s="113">
        <f>'Position Frontjahre'!H2</f>
        <v>2030</v>
      </c>
      <c r="H8" s="113" t="str">
        <f>'Position Frontjahre'!N2</f>
        <v>Summe 27-29</v>
      </c>
      <c r="I8" s="140"/>
      <c r="J8" s="140"/>
      <c r="K8" s="157"/>
      <c r="L8" s="157"/>
      <c r="M8" s="157"/>
      <c r="N8" s="50"/>
      <c r="O8" s="50"/>
      <c r="P8" s="50"/>
      <c r="Q8" s="50"/>
      <c r="R8" s="50"/>
    </row>
    <row r="9" spans="1:32" ht="15.6" customHeight="1" x14ac:dyDescent="0.25">
      <c r="A9" s="285" t="str">
        <f>'Position Frontjahre'!A3</f>
        <v>Saldo: beschaffen (pos) / zuviel beschafft (neg)</v>
      </c>
      <c r="B9" s="285"/>
      <c r="C9" s="286"/>
      <c r="D9" s="178">
        <f ca="1">'Position Frontjahre'!E$4</f>
        <v>0.21864447260273356</v>
      </c>
      <c r="E9" s="178">
        <f ca="1">'Position Frontjahre'!F$4</f>
        <v>-3.1246949681238059E-2</v>
      </c>
      <c r="F9" s="178">
        <f ca="1">'Position Frontjahre'!G$4</f>
        <v>0.13286847716894934</v>
      </c>
      <c r="G9" s="178">
        <f ca="1">'Position Frontjahre'!H$4</f>
        <v>0</v>
      </c>
      <c r="H9" s="178">
        <f ca="1">'Position Frontjahre'!N$4</f>
        <v>0.32026600009044481</v>
      </c>
      <c r="I9" s="140"/>
      <c r="J9" s="140"/>
      <c r="K9" s="47"/>
      <c r="L9" s="47"/>
      <c r="M9" s="47"/>
      <c r="N9" s="50"/>
      <c r="O9" s="50"/>
      <c r="P9" s="50"/>
      <c r="Q9" s="50"/>
      <c r="R9" s="50"/>
    </row>
    <row r="10" spans="1:32" ht="17.850000000000001" customHeight="1" x14ac:dyDescent="0.25">
      <c r="A10" s="171" t="s">
        <v>84</v>
      </c>
      <c r="B10" s="158"/>
      <c r="C10" s="159"/>
      <c r="D10" s="73"/>
      <c r="E10" s="73"/>
      <c r="F10" s="73"/>
      <c r="G10" s="73"/>
      <c r="H10" s="179">
        <f ca="1">(0.5-H9)*8760</f>
        <v>1574.4698392077034</v>
      </c>
      <c r="I10" s="239"/>
      <c r="J10" s="140"/>
      <c r="K10" s="72"/>
      <c r="L10" s="72"/>
      <c r="M10" s="72"/>
      <c r="N10" s="50"/>
      <c r="O10" s="50"/>
      <c r="P10" s="50"/>
      <c r="Q10" s="50"/>
      <c r="R10" s="50"/>
    </row>
    <row r="11" spans="1:32" x14ac:dyDescent="0.25">
      <c r="A11" s="50"/>
      <c r="B11" s="50"/>
      <c r="C11" s="50"/>
      <c r="D11" s="50"/>
      <c r="E11" s="50"/>
      <c r="F11" s="50"/>
      <c r="G11" s="50"/>
      <c r="H11" s="50"/>
      <c r="I11" s="140"/>
      <c r="J11" s="140"/>
      <c r="K11" s="50"/>
      <c r="L11" s="50"/>
      <c r="M11" s="50"/>
      <c r="N11" s="50"/>
      <c r="O11" s="50"/>
      <c r="P11" s="50"/>
      <c r="Q11" s="50"/>
      <c r="R11" s="50"/>
    </row>
    <row r="12" spans="1:32" x14ac:dyDescent="0.25">
      <c r="A12" s="50"/>
      <c r="B12" s="50"/>
      <c r="C12" s="50"/>
      <c r="D12" s="50"/>
      <c r="E12" s="50"/>
      <c r="F12" s="50"/>
      <c r="G12" s="50"/>
      <c r="H12" s="50"/>
      <c r="I12" s="140"/>
      <c r="J12" s="140"/>
      <c r="K12" s="50"/>
      <c r="L12" s="50"/>
      <c r="M12" s="50"/>
      <c r="N12" s="50"/>
      <c r="O12" s="50"/>
      <c r="P12" s="50"/>
      <c r="Q12" s="50"/>
      <c r="R12" s="50"/>
    </row>
    <row r="13" spans="1:32" x14ac:dyDescent="0.25">
      <c r="A13" s="173" t="s">
        <v>28</v>
      </c>
      <c r="B13" s="144" t="s">
        <v>86</v>
      </c>
      <c r="C13" s="358" t="s">
        <v>82</v>
      </c>
      <c r="D13" s="358" t="s">
        <v>83</v>
      </c>
      <c r="E13" s="174" t="s">
        <v>1</v>
      </c>
      <c r="G13" s="144" t="s">
        <v>87</v>
      </c>
      <c r="H13" s="358" t="s">
        <v>82</v>
      </c>
      <c r="I13" s="147" t="s">
        <v>83</v>
      </c>
      <c r="J13" s="173" t="s">
        <v>2</v>
      </c>
      <c r="L13" s="41" t="s">
        <v>146</v>
      </c>
      <c r="M13" s="41" t="s">
        <v>144</v>
      </c>
      <c r="N13" s="41" t="s">
        <v>145</v>
      </c>
      <c r="R13" s="50"/>
    </row>
    <row r="14" spans="1:32" x14ac:dyDescent="0.25">
      <c r="A14" s="147">
        <f>YEAR(C8)+1</f>
        <v>2027</v>
      </c>
      <c r="B14" s="145">
        <v>93.19</v>
      </c>
      <c r="C14" s="145">
        <v>0.4</v>
      </c>
      <c r="D14" s="145">
        <v>1</v>
      </c>
      <c r="E14" s="357">
        <f>IF(AND(C14,B14=""),"",B14+C14+D14)</f>
        <v>94.59</v>
      </c>
      <c r="G14" s="145">
        <v>93.98</v>
      </c>
      <c r="H14" s="145">
        <v>0.65</v>
      </c>
      <c r="I14" s="145">
        <v>1</v>
      </c>
      <c r="J14" s="357">
        <f>IF(G14="","",G14+H14+I14)</f>
        <v>95.63000000000001</v>
      </c>
      <c r="L14" s="335">
        <v>92.98</v>
      </c>
      <c r="M14" s="336">
        <f>(E14-L14)/L14</f>
        <v>1.7315551731555166E-2</v>
      </c>
      <c r="N14" s="67" t="str">
        <f>IF(ABS(M14)&lt;=0.05,"Plausibel",IF(ABS(M14)&lt;=0.15,"Prüfen","Unplausibel"))</f>
        <v>Plausibel</v>
      </c>
      <c r="R14" s="229"/>
    </row>
    <row r="15" spans="1:32" ht="14.85" customHeight="1" x14ac:dyDescent="0.25">
      <c r="A15" s="147">
        <f>A14+1</f>
        <v>2028</v>
      </c>
      <c r="B15" s="145">
        <v>81.27</v>
      </c>
      <c r="C15" s="145">
        <v>0.5</v>
      </c>
      <c r="D15" s="145">
        <v>0.8</v>
      </c>
      <c r="E15" s="357">
        <f>IF(AND(C15,B15=""),"",B15+C15+D15)</f>
        <v>82.57</v>
      </c>
      <c r="G15" s="145">
        <v>82.34</v>
      </c>
      <c r="H15" s="145">
        <v>0.75</v>
      </c>
      <c r="I15" s="145">
        <v>0.8</v>
      </c>
      <c r="J15" s="357">
        <f>IF(G15="","",G15+H15+I15)</f>
        <v>83.89</v>
      </c>
      <c r="L15" s="335">
        <v>81.34</v>
      </c>
      <c r="M15" s="336">
        <f>(E15-L15)/L15</f>
        <v>1.5121711335136338E-2</v>
      </c>
      <c r="N15" s="67" t="str">
        <f t="shared" ref="N15:N16" si="0">IF(ABS(M15)&lt;=0.05,"Plausibel",IF(ABS(M15)&lt;=0.15,"Prüfen","Unplausibel"))</f>
        <v>Plausibel</v>
      </c>
      <c r="R15" s="368" t="s">
        <v>148</v>
      </c>
      <c r="S15" s="368"/>
      <c r="T15" s="368"/>
      <c r="U15" s="368"/>
      <c r="V15" s="368"/>
      <c r="W15" s="368"/>
      <c r="X15" s="368"/>
      <c r="Z15" s="370"/>
      <c r="AA15" s="370"/>
      <c r="AB15" s="370"/>
      <c r="AC15" s="370"/>
      <c r="AD15" s="370"/>
      <c r="AE15" s="370"/>
      <c r="AF15" s="370"/>
    </row>
    <row r="16" spans="1:32" x14ac:dyDescent="0.25">
      <c r="A16" s="147">
        <f t="shared" ref="A16:A17" si="1">A15+1</f>
        <v>2029</v>
      </c>
      <c r="B16" s="145">
        <v>75.5</v>
      </c>
      <c r="C16" s="145">
        <v>0.6</v>
      </c>
      <c r="D16" s="145">
        <v>0.8</v>
      </c>
      <c r="E16" s="357">
        <f>IF(AND(C16,B16=""),"",B16+C16+D16)</f>
        <v>76.899999999999991</v>
      </c>
      <c r="G16" s="145">
        <v>76.12</v>
      </c>
      <c r="H16" s="145">
        <v>0.85</v>
      </c>
      <c r="I16" s="145">
        <v>0.8</v>
      </c>
      <c r="J16" s="357">
        <f>IF(G16="","",G16+H16+I16)</f>
        <v>77.77</v>
      </c>
      <c r="L16" s="335">
        <v>75.12</v>
      </c>
      <c r="M16" s="336">
        <f>(E16-L16)/L16</f>
        <v>2.3695420660276714E-2</v>
      </c>
      <c r="N16" s="67" t="str">
        <f t="shared" si="0"/>
        <v>Plausibel</v>
      </c>
      <c r="R16" s="369"/>
      <c r="S16" s="369"/>
      <c r="T16" s="369"/>
      <c r="U16" s="369"/>
      <c r="V16" s="369"/>
      <c r="W16" s="369"/>
      <c r="X16" s="369"/>
      <c r="Z16" s="370"/>
      <c r="AA16" s="370"/>
      <c r="AB16" s="370"/>
      <c r="AC16" s="370"/>
      <c r="AD16" s="370"/>
      <c r="AE16" s="370"/>
      <c r="AF16" s="370"/>
    </row>
    <row r="17" spans="1:32" x14ac:dyDescent="0.25">
      <c r="A17" s="147">
        <f t="shared" si="1"/>
        <v>2030</v>
      </c>
      <c r="B17" s="294">
        <v>71.63</v>
      </c>
      <c r="C17" s="294"/>
      <c r="D17" s="294"/>
      <c r="E17" s="173"/>
      <c r="G17" s="294"/>
      <c r="H17" s="294"/>
      <c r="I17" s="294"/>
      <c r="J17" s="357" t="str">
        <f>IF(G17="","",G17+H17+I17)</f>
        <v/>
      </c>
      <c r="O17" s="136"/>
      <c r="R17" s="369"/>
      <c r="S17" s="369"/>
      <c r="T17" s="369"/>
      <c r="U17" s="369"/>
      <c r="V17" s="369"/>
      <c r="W17" s="369"/>
      <c r="X17" s="369"/>
      <c r="Z17" s="370"/>
      <c r="AA17" s="370"/>
      <c r="AB17" s="370"/>
      <c r="AC17" s="370"/>
      <c r="AD17" s="370"/>
      <c r="AE17" s="370"/>
      <c r="AF17" s="370"/>
    </row>
    <row r="18" spans="1:32" ht="16.350000000000001" customHeight="1" x14ac:dyDescent="0.25">
      <c r="I18"/>
      <c r="J18" s="42"/>
      <c r="K18" s="50"/>
      <c r="L18" s="50"/>
      <c r="M18" s="50"/>
      <c r="N18" s="50"/>
      <c r="O18" s="50"/>
      <c r="P18" s="50"/>
      <c r="Q18" s="50"/>
      <c r="R18" s="369"/>
      <c r="S18" s="369"/>
      <c r="T18" s="369"/>
      <c r="U18" s="369"/>
      <c r="V18" s="369"/>
      <c r="W18" s="369"/>
      <c r="X18" s="369"/>
      <c r="Z18" s="370"/>
      <c r="AA18" s="370"/>
      <c r="AB18" s="370"/>
      <c r="AC18" s="370"/>
      <c r="AD18" s="370"/>
      <c r="AE18" s="370"/>
      <c r="AF18" s="370"/>
    </row>
    <row r="19" spans="1:32" ht="16.350000000000001" customHeight="1" x14ac:dyDescent="0.25">
      <c r="A19" s="334" t="s">
        <v>143</v>
      </c>
      <c r="B19" s="144" t="s">
        <v>86</v>
      </c>
      <c r="C19" s="358" t="s">
        <v>82</v>
      </c>
      <c r="D19" s="358" t="s">
        <v>83</v>
      </c>
      <c r="E19" s="174" t="s">
        <v>1</v>
      </c>
      <c r="G19" s="144" t="s">
        <v>87</v>
      </c>
      <c r="H19" s="358" t="s">
        <v>82</v>
      </c>
      <c r="I19" s="147" t="s">
        <v>83</v>
      </c>
      <c r="J19" s="173" t="s">
        <v>2</v>
      </c>
      <c r="K19" s="50"/>
      <c r="L19" s="50"/>
      <c r="M19" s="50"/>
      <c r="N19" s="50"/>
      <c r="O19" s="50"/>
      <c r="P19" s="50"/>
      <c r="Q19" s="50"/>
      <c r="R19" s="369"/>
      <c r="S19" s="369"/>
      <c r="T19" s="369"/>
      <c r="U19" s="369"/>
      <c r="V19" s="369"/>
      <c r="W19" s="369"/>
      <c r="X19" s="369"/>
      <c r="Z19" s="370"/>
      <c r="AA19" s="370"/>
      <c r="AB19" s="370"/>
      <c r="AC19" s="370"/>
      <c r="AD19" s="370"/>
      <c r="AE19" s="370"/>
      <c r="AF19" s="370"/>
    </row>
    <row r="20" spans="1:32" x14ac:dyDescent="0.25">
      <c r="A20" s="310" t="str">
        <f ca="1">"Q"&amp;IF(MONTH(TODAY())&lt;=3,2,IF(MONTH(TODAY())&lt;=6,3,IF(MONTH(TODAY())&lt;=9,4,1)))&amp;" "&amp;YEAR(TODAY())+IF(MONTH(TODAY())&gt;9,1,0)</f>
        <v>Q4 2026</v>
      </c>
      <c r="B20" s="313">
        <v>103.34</v>
      </c>
      <c r="C20" s="311">
        <v>0.4</v>
      </c>
      <c r="D20" s="311">
        <v>2.5</v>
      </c>
      <c r="E20" s="357">
        <f>IF(AND(C20,B20=""),"",B20+C20+D20)</f>
        <v>106.24000000000001</v>
      </c>
      <c r="G20" s="313">
        <v>95.49</v>
      </c>
      <c r="H20" s="311">
        <v>0.4</v>
      </c>
      <c r="I20" s="311">
        <v>2.5</v>
      </c>
      <c r="J20" s="357">
        <f>IF(G20="","",G20+H20+I20)</f>
        <v>98.39</v>
      </c>
      <c r="K20" s="50"/>
      <c r="L20" s="50"/>
      <c r="M20" s="50"/>
      <c r="N20" s="50"/>
      <c r="O20" s="50"/>
      <c r="P20" s="50"/>
      <c r="Q20" s="50"/>
      <c r="R20" s="369"/>
      <c r="S20" s="369"/>
      <c r="T20" s="369"/>
      <c r="U20" s="369"/>
      <c r="V20" s="369"/>
      <c r="W20" s="369"/>
      <c r="X20" s="369"/>
      <c r="Z20" s="370"/>
      <c r="AA20" s="370"/>
      <c r="AB20" s="370"/>
      <c r="AC20" s="370"/>
      <c r="AD20" s="370"/>
      <c r="AE20" s="370"/>
      <c r="AF20" s="370"/>
    </row>
    <row r="21" spans="1:32" x14ac:dyDescent="0.25">
      <c r="A21" s="333" t="str">
        <f ca="1">"Q"&amp;MOD(ROUNDUP(MONTH(TODAY())/3,0)+1,4)+1&amp;" "&amp;YEAR(TODAY())+INT((ROUNDUP(MONTH(TODAY())/3,0)+1)/4)</f>
        <v>Q1 2027</v>
      </c>
      <c r="B21" s="314">
        <v>123.41</v>
      </c>
      <c r="C21" s="312">
        <v>0.4</v>
      </c>
      <c r="D21" s="312">
        <v>1</v>
      </c>
      <c r="E21" s="357">
        <f>IF(AND(C21,B21=""),"",B21+C21+D21)</f>
        <v>124.81</v>
      </c>
      <c r="G21" s="314">
        <v>152.15</v>
      </c>
      <c r="H21" s="312">
        <v>0.4</v>
      </c>
      <c r="I21" s="312">
        <v>1</v>
      </c>
      <c r="J21" s="357">
        <f>IF(G21="","",G21+H21+I21)</f>
        <v>153.55000000000001</v>
      </c>
      <c r="K21" s="50"/>
      <c r="L21" s="50"/>
      <c r="M21" s="50"/>
      <c r="N21" s="50"/>
      <c r="O21" s="50"/>
      <c r="P21" s="50"/>
      <c r="Q21" s="50"/>
      <c r="R21" s="369"/>
      <c r="S21" s="369"/>
      <c r="T21" s="369"/>
      <c r="U21" s="369"/>
      <c r="V21" s="369"/>
      <c r="W21" s="369"/>
      <c r="X21" s="369"/>
      <c r="Z21" s="370"/>
      <c r="AA21" s="370"/>
      <c r="AB21" s="370"/>
      <c r="AC21" s="370"/>
      <c r="AD21" s="370"/>
      <c r="AE21" s="370"/>
      <c r="AF21" s="370"/>
    </row>
    <row r="22" spans="1:32" x14ac:dyDescent="0.25">
      <c r="A22" s="333" t="str">
        <f ca="1">"Q"&amp;MOD(ROUNDUP(MONTH(TODAY())/3,0)+2,4)+1&amp;" "&amp;YEAR(TODAY())+INT((ROUNDUP(MONTH(TODAY())/3,0)+2)/4)</f>
        <v>Q2 2027</v>
      </c>
      <c r="B22" s="314">
        <v>116.65</v>
      </c>
      <c r="C22" s="312">
        <v>0.4</v>
      </c>
      <c r="D22" s="312">
        <v>1</v>
      </c>
      <c r="E22" s="357">
        <f>IF(AND(C22,B22=""),"",B22+C22+D22)</f>
        <v>118.05000000000001</v>
      </c>
      <c r="G22" s="314">
        <v>137.75</v>
      </c>
      <c r="H22" s="312">
        <v>0.4</v>
      </c>
      <c r="I22" s="312">
        <v>1</v>
      </c>
      <c r="J22" s="357">
        <f>IF(G22="","",G22+H22+I22)</f>
        <v>139.15</v>
      </c>
      <c r="K22" s="50"/>
      <c r="L22" s="50"/>
      <c r="M22" s="50"/>
      <c r="N22" s="50"/>
      <c r="O22" s="50"/>
      <c r="P22" s="50"/>
      <c r="Q22" s="50"/>
      <c r="R22" s="369"/>
      <c r="S22" s="369"/>
      <c r="T22" s="369"/>
      <c r="U22" s="369"/>
      <c r="V22" s="369"/>
      <c r="W22" s="369"/>
      <c r="X22" s="369"/>
      <c r="Z22" s="370"/>
      <c r="AA22" s="370"/>
      <c r="AB22" s="370"/>
      <c r="AC22" s="370"/>
      <c r="AD22" s="370"/>
      <c r="AE22" s="370"/>
      <c r="AF22" s="370"/>
    </row>
    <row r="23" spans="1:32" x14ac:dyDescent="0.25">
      <c r="A23" s="333" t="str">
        <f ca="1">"Q"&amp;MOD(ROUNDUP(MONTH(TODAY())/3,0)+3,4)+1&amp;" "&amp;YEAR(TODAY())+INT((ROUNDUP(MONTH(TODAY())/3,0)+3)/4)</f>
        <v>Q3 2027</v>
      </c>
      <c r="B23" s="314"/>
      <c r="C23" s="312">
        <v>0.4</v>
      </c>
      <c r="D23" s="312">
        <v>2.5</v>
      </c>
      <c r="E23" s="357" t="str">
        <f>IF(AND(C23,B23=""),"",B23+C23+D23)</f>
        <v/>
      </c>
      <c r="G23" s="314"/>
      <c r="H23" s="312">
        <v>0.4</v>
      </c>
      <c r="I23" s="312">
        <v>2.5</v>
      </c>
      <c r="J23" s="357" t="str">
        <f>IF(G23="","",G23+H23+I23)</f>
        <v/>
      </c>
      <c r="K23" s="50"/>
      <c r="L23" s="50"/>
      <c r="M23" s="50"/>
      <c r="N23" s="50"/>
      <c r="O23" s="50"/>
      <c r="P23" s="50"/>
      <c r="Q23" s="50"/>
      <c r="R23" s="369"/>
      <c r="S23" s="369"/>
      <c r="T23" s="369"/>
      <c r="U23" s="369"/>
      <c r="V23" s="369"/>
      <c r="W23" s="369"/>
      <c r="X23" s="369"/>
      <c r="Z23" s="370"/>
      <c r="AA23" s="370"/>
      <c r="AB23" s="370"/>
      <c r="AC23" s="370"/>
      <c r="AD23" s="370"/>
      <c r="AE23" s="370"/>
      <c r="AF23" s="370"/>
    </row>
    <row r="24" spans="1:32" ht="29.25" customHeight="1" x14ac:dyDescent="0.25">
      <c r="H24" s="151"/>
      <c r="I24" s="152"/>
      <c r="J24" s="152"/>
      <c r="K24" s="50"/>
      <c r="L24" s="50"/>
      <c r="M24" s="50"/>
      <c r="N24" s="50"/>
      <c r="O24" s="50"/>
      <c r="P24" s="50"/>
      <c r="Q24" s="50"/>
      <c r="R24" s="369"/>
      <c r="S24" s="369"/>
      <c r="T24" s="369"/>
      <c r="U24" s="369"/>
      <c r="V24" s="369"/>
      <c r="W24" s="369"/>
      <c r="X24" s="369"/>
      <c r="Z24" s="370"/>
      <c r="AA24" s="370"/>
      <c r="AB24" s="370"/>
      <c r="AC24" s="370"/>
      <c r="AD24" s="370"/>
      <c r="AE24" s="370"/>
      <c r="AF24" s="370"/>
    </row>
    <row r="25" spans="1:32" x14ac:dyDescent="0.25">
      <c r="A25" s="347" t="s">
        <v>139</v>
      </c>
      <c r="B25" s="348"/>
      <c r="C25" s="349"/>
      <c r="D25" s="153"/>
      <c r="E25" s="337" t="s">
        <v>140</v>
      </c>
      <c r="F25" s="338"/>
      <c r="G25" s="339"/>
      <c r="J25" s="153"/>
      <c r="N25" s="50"/>
      <c r="O25" s="50"/>
      <c r="P25" s="50"/>
      <c r="Q25" s="50"/>
      <c r="R25" s="369"/>
      <c r="S25" s="369"/>
      <c r="T25" s="369"/>
      <c r="U25" s="369"/>
      <c r="V25" s="369"/>
      <c r="W25" s="369"/>
      <c r="X25" s="369"/>
      <c r="Z25" s="370"/>
      <c r="AA25" s="370"/>
      <c r="AB25" s="370"/>
      <c r="AC25" s="370"/>
      <c r="AD25" s="370"/>
      <c r="AE25" s="370"/>
      <c r="AF25" s="370"/>
    </row>
    <row r="26" spans="1:32" x14ac:dyDescent="0.25">
      <c r="A26" s="350" t="s">
        <v>75</v>
      </c>
      <c r="B26" s="351"/>
      <c r="C26" s="352"/>
      <c r="D26" s="153"/>
      <c r="E26" s="340" t="s">
        <v>75</v>
      </c>
      <c r="F26" s="341"/>
      <c r="G26" s="342"/>
      <c r="N26" s="50"/>
      <c r="O26" s="50"/>
      <c r="P26" s="50"/>
      <c r="Q26" s="50"/>
      <c r="R26" s="369"/>
      <c r="S26" s="369"/>
      <c r="T26" s="369"/>
      <c r="U26" s="369"/>
      <c r="V26" s="369"/>
      <c r="W26" s="369"/>
      <c r="X26" s="369"/>
      <c r="Z26" s="370"/>
      <c r="AA26" s="370"/>
      <c r="AB26" s="370"/>
      <c r="AC26" s="370"/>
      <c r="AD26" s="370"/>
      <c r="AE26" s="370"/>
      <c r="AF26" s="370"/>
    </row>
    <row r="27" spans="1:32" x14ac:dyDescent="0.25">
      <c r="A27" s="350"/>
      <c r="B27" s="351"/>
      <c r="C27" s="352"/>
      <c r="D27" s="153"/>
      <c r="E27" s="343"/>
      <c r="F27" s="341"/>
      <c r="G27" s="342"/>
      <c r="N27" s="50"/>
      <c r="O27" s="50"/>
      <c r="P27" s="50"/>
      <c r="Q27" s="50"/>
      <c r="R27" s="369"/>
      <c r="S27" s="369"/>
      <c r="T27" s="369"/>
      <c r="U27" s="369"/>
      <c r="V27" s="369"/>
      <c r="W27" s="369"/>
      <c r="X27" s="369"/>
      <c r="Z27" s="370"/>
      <c r="AA27" s="370"/>
      <c r="AB27" s="370"/>
      <c r="AC27" s="370"/>
      <c r="AD27" s="370"/>
      <c r="AE27" s="370"/>
      <c r="AF27" s="370"/>
    </row>
    <row r="28" spans="1:32" x14ac:dyDescent="0.25">
      <c r="A28" s="353" t="str">
        <f>IF(E14&lt;&gt;"",A14&amp;" "&amp;$E$13&amp;" "&amp;E14&amp;" €/MWh",IF(AND(E14="",E15&lt;&gt;""),A15&amp;" "&amp;$E$13&amp;" "&amp;E15&amp;" €/MWh",IF(AND(E15="",E14="",E16&lt;&gt;""),A16&amp;" "&amp;$E$13&amp;" "&amp;E16&amp;" €/MWh",IF(AND(E16="",E15="",E14="",B17&lt;=""),A17&amp;" "&amp;$E$13&amp;" "&amp;B17&amp;" €/MWh","Kein Preis vorhanden"))))</f>
        <v>2027 Base 94,59 €/MWh</v>
      </c>
      <c r="B28" s="351"/>
      <c r="C28" s="352"/>
      <c r="D28" s="153"/>
      <c r="E28" s="344" t="str">
        <f ca="1">IF(E20&lt;&gt;"",A20&amp;" "&amp;$E$13&amp;" "&amp;E20&amp;" €/MWh",IF(AND(E20="",E21&lt;&gt;""),A21&amp;" "&amp;$E$13&amp;" "&amp;E21&amp;" €/MWh",IF(AND(E21="",E20="",E22&lt;&gt;""),A22&amp;" "&amp;$E$13&amp;" "&amp;E22&amp;" €/MWh",IF(AND(E22="",E21="",A20="",E23&lt;=""),A23&amp;" "&amp;$E$13&amp;" "&amp;E23&amp;" €/MWh","Kein Preis vorhanden"))))</f>
        <v>Q4 2026 Base 106,24 €/MWh</v>
      </c>
      <c r="F28" s="341"/>
      <c r="G28" s="342"/>
      <c r="N28" s="50"/>
      <c r="O28" s="50"/>
      <c r="P28" s="50"/>
      <c r="Q28" s="50"/>
      <c r="R28" s="369"/>
      <c r="S28" s="369"/>
      <c r="T28" s="369"/>
      <c r="U28" s="369"/>
      <c r="V28" s="369"/>
      <c r="W28" s="369"/>
      <c r="X28" s="369"/>
      <c r="Z28" s="370"/>
      <c r="AA28" s="370"/>
      <c r="AB28" s="370"/>
      <c r="AC28" s="370"/>
      <c r="AD28" s="370"/>
      <c r="AE28" s="370"/>
      <c r="AF28" s="370"/>
    </row>
    <row r="29" spans="1:32" x14ac:dyDescent="0.25">
      <c r="A29" s="353" t="str">
        <f>IF(J14&lt;&gt;"",A14&amp;" "&amp;$J$13&amp;" "&amp;J14&amp;" €/MWh",IF(AND(J14="",J15&lt;&gt;""),A15&amp;" "&amp;$J$13&amp;" "&amp;J15&amp;" €/MWh",IF(AND(J15="",J14="",J16&lt;&gt;""),A16&amp;" "&amp;$J$13&amp;" "&amp;J16&amp;" €/MWh",IF(AND(J16="",J15="",J14="",J17&lt;=""),A17&amp;" "&amp;$J$13&amp;" "&amp;J17&amp;" €/MWh","Kein Preis vorhanden"))))</f>
        <v>2027 Peak 95,63 €/MWh</v>
      </c>
      <c r="B29" s="351"/>
      <c r="C29" s="352"/>
      <c r="D29" s="153"/>
      <c r="E29" s="344" t="str">
        <f ca="1">IF(J20&lt;&gt;"",A20&amp;" "&amp;$J$13&amp;" "&amp;J20&amp;" €/MWh",IF(AND(J20="",J21&lt;&gt;""),A21&amp;" "&amp;$J$13&amp;" "&amp;J21&amp;" €/MWh",IF(AND(J21="",J20="",J22&lt;&gt;""),A22&amp;" "&amp;$J$13&amp;" "&amp;J22&amp;" €/MWh",IF(AND(J22="",J20="",J20="",J23&lt;=""),A23&amp;" "&amp;$J$13&amp;" "&amp;J23&amp;" €/MWh","Kein Preis vorhanden"))))</f>
        <v>Q4 2026 Peak 98,39 €/MWh</v>
      </c>
      <c r="F29" s="343"/>
      <c r="G29" s="345"/>
      <c r="N29" s="150"/>
      <c r="O29" s="50"/>
      <c r="P29" s="50"/>
      <c r="Q29" s="50"/>
      <c r="R29" s="369"/>
      <c r="S29" s="369"/>
      <c r="T29" s="369"/>
      <c r="U29" s="369"/>
      <c r="V29" s="369"/>
      <c r="W29" s="369"/>
      <c r="X29" s="369"/>
      <c r="Z29" s="370"/>
      <c r="AA29" s="370"/>
      <c r="AB29" s="370"/>
      <c r="AC29" s="370"/>
      <c r="AD29" s="370"/>
      <c r="AE29" s="370"/>
      <c r="AF29" s="370"/>
    </row>
    <row r="30" spans="1:32" x14ac:dyDescent="0.25">
      <c r="A30" s="350"/>
      <c r="B30" s="351"/>
      <c r="C30" s="352"/>
      <c r="D30" s="151"/>
      <c r="E30" s="340"/>
      <c r="F30" s="343"/>
      <c r="G30" s="345"/>
      <c r="N30" s="150"/>
      <c r="O30" s="50"/>
      <c r="P30" s="50"/>
      <c r="Q30" s="50"/>
      <c r="R30" s="369"/>
      <c r="S30" s="369"/>
      <c r="T30" s="369"/>
      <c r="U30" s="369"/>
      <c r="V30" s="369"/>
      <c r="W30" s="369"/>
      <c r="X30" s="369"/>
      <c r="Z30" s="370"/>
      <c r="AA30" s="370"/>
      <c r="AB30" s="370"/>
      <c r="AC30" s="370"/>
      <c r="AD30" s="370"/>
      <c r="AE30" s="370"/>
      <c r="AF30" s="370"/>
    </row>
    <row r="31" spans="1:32" x14ac:dyDescent="0.25">
      <c r="A31" s="353" t="str">
        <f>IF(E14&lt;&gt;"",A15&amp;" "&amp;$E$13&amp;" "&amp;E15&amp;" €/MWh",IF(AND(E14="",E15&lt;&gt;""),A16&amp;" "&amp;$E$13&amp;" "&amp;E16&amp;" €/MWh",IF(AND(E15="",E14="",E16&lt;&gt;""),A17&amp;" "&amp;$E$13&amp;" "&amp;E17&amp;" €/MWh","Kein Preis vorhanden")))</f>
        <v>2028 Base 82,57 €/MWh</v>
      </c>
      <c r="B31" s="351"/>
      <c r="C31" s="352"/>
      <c r="D31" s="151"/>
      <c r="E31" s="344" t="str">
        <f ca="1">IF(E20&lt;&gt;"",A21&amp;" "&amp;$E$13&amp;" "&amp;E21&amp;" €/MWh",IF(AND(E20="",E21&lt;&gt;""),A22&amp;" "&amp;$E$13&amp;" "&amp;E22&amp;" €/MWh",IF(AND(E21="",E20="",E22&lt;&gt;""),A23&amp;" "&amp;$E$13&amp;" "&amp;E23&amp;" €/MWh","Kein Preis vorhanden")))</f>
        <v>Q1 2027 Base 124,81 €/MWh</v>
      </c>
      <c r="F31" s="343"/>
      <c r="G31" s="345"/>
      <c r="N31" s="150"/>
      <c r="O31" s="50"/>
      <c r="P31" s="50"/>
      <c r="Q31" s="50"/>
      <c r="R31" s="50"/>
      <c r="W31" s="172"/>
      <c r="X31" s="172"/>
    </row>
    <row r="32" spans="1:32" x14ac:dyDescent="0.25">
      <c r="A32" s="353" t="str">
        <f>IF(J14&lt;&gt;"",A15&amp;" "&amp;$J$13&amp;" "&amp;J15&amp;" €/MWh",IF(AND(J14="",J15&lt;&gt;""),A16&amp;" "&amp;$J$13&amp;" "&amp;J16&amp;" €/MWh",IF(AND(J15="",QB15="",J16&lt;&gt;""),A17&amp;" "&amp;$J$13&amp;" "&amp;J17&amp;" €/MWh","Kein Preis vorhanden")))</f>
        <v>2028 Peak 83,89 €/MWh</v>
      </c>
      <c r="B32" s="351"/>
      <c r="C32" s="352"/>
      <c r="D32" s="151"/>
      <c r="E32" s="344" t="str">
        <f ca="1">IF(J20&lt;&gt;"",A21&amp;" "&amp;$J$13&amp;" "&amp;J21&amp;" €/MWh",IF(AND(J20="",J21&lt;&gt;""),A22&amp;" "&amp;$J$13&amp;" "&amp;J22&amp;" €/MWh",IF(AND(J21="",QF15="",J22&lt;&gt;""),A23&amp;" "&amp;$J$13&amp;" "&amp;J23&amp;" €/MWh","Kein Preis vorhanden")))</f>
        <v>Q1 2027 Peak 153,55 €/MWh</v>
      </c>
      <c r="F32" s="341"/>
      <c r="G32" s="342"/>
      <c r="J32" s="153"/>
      <c r="N32" s="50"/>
      <c r="O32" s="50"/>
      <c r="P32" s="50"/>
      <c r="Q32" s="50"/>
      <c r="R32" s="331"/>
      <c r="S32" s="331"/>
      <c r="T32" s="331"/>
      <c r="U32" s="331"/>
      <c r="V32" s="331"/>
      <c r="W32" s="331"/>
      <c r="X32" s="331"/>
    </row>
    <row r="33" spans="1:24" x14ac:dyDescent="0.25">
      <c r="A33" s="350"/>
      <c r="B33" s="351"/>
      <c r="C33" s="352"/>
      <c r="D33" s="151"/>
      <c r="E33" s="340"/>
      <c r="F33" s="341"/>
      <c r="G33" s="342"/>
      <c r="J33" s="153"/>
      <c r="N33" s="50"/>
      <c r="O33" s="50"/>
      <c r="P33" s="50"/>
      <c r="Q33" s="50"/>
      <c r="R33" s="331"/>
      <c r="S33" s="331"/>
      <c r="T33" s="331"/>
      <c r="U33" s="331"/>
      <c r="V33" s="331"/>
      <c r="W33" s="331"/>
      <c r="X33" s="331"/>
    </row>
    <row r="34" spans="1:24" x14ac:dyDescent="0.25">
      <c r="A34" s="353" t="str">
        <f>IF(E14&lt;&gt;"",A16&amp;" "&amp;$E$13&amp;" "&amp;E16&amp;" €/MWh",IF(AND(E14="",E15&lt;&gt;""),A17&amp;" "&amp;$E$13&amp;" "&amp;B17&amp;" €/MWh","Kein Preis vorhanden"))</f>
        <v>2029 Base 76,9 €/MWh</v>
      </c>
      <c r="B34" s="351"/>
      <c r="C34" s="352"/>
      <c r="D34" s="151"/>
      <c r="E34" s="344" t="str">
        <f ca="1">IF(E20&lt;&gt;"",A22&amp;" "&amp;$E$13&amp;" "&amp;E22&amp;" €/MWh",IF(AND(E20="",E21&lt;&gt;""),A23&amp;" "&amp;$E$13&amp;" "&amp;E23&amp;" €/MWh","Kein Preis vorhanden"))</f>
        <v>Q2 2027 Base 118,05 €/MWh</v>
      </c>
      <c r="F34" s="343"/>
      <c r="G34" s="345"/>
      <c r="J34" s="153"/>
      <c r="N34" s="150"/>
      <c r="O34" s="50"/>
      <c r="P34" s="50"/>
      <c r="Q34" s="50"/>
      <c r="R34" s="331"/>
      <c r="S34" s="331"/>
      <c r="T34" s="331"/>
      <c r="U34" s="331"/>
      <c r="V34" s="331"/>
      <c r="W34" s="331"/>
      <c r="X34" s="331"/>
    </row>
    <row r="35" spans="1:24" x14ac:dyDescent="0.25">
      <c r="A35" s="353" t="str">
        <f>IF(J14&lt;&gt;"",A16&amp;" "&amp;$J$13&amp;" "&amp;J16&amp;" €/MWh",IF(AND(J14="",J15&lt;&gt;""),A17&amp;" "&amp;$J$13&amp;" "&amp;J17&amp;" €/MWh","Kein Preis vorhanden"))</f>
        <v>2029 Peak 77,77 €/MWh</v>
      </c>
      <c r="B35" s="351"/>
      <c r="C35" s="354"/>
      <c r="D35" s="136"/>
      <c r="E35" s="344" t="str">
        <f ca="1">IF(J20&lt;&gt;"",A22&amp;" "&amp;$J$13&amp;" "&amp;J22&amp;" €/MWh",IF(AND(J20="",J21&lt;&gt;""),A23&amp;" "&amp;$J$13&amp;" "&amp;J23&amp;" €/MWh","Kein Preis vorhanden"))</f>
        <v>Q2 2027 Peak 139,15 €/MWh</v>
      </c>
      <c r="F35" s="343"/>
      <c r="G35" s="345"/>
      <c r="J35" s="136"/>
      <c r="N35" s="150"/>
      <c r="O35" s="50"/>
      <c r="P35" s="50"/>
      <c r="Q35" s="50"/>
      <c r="R35" s="331"/>
      <c r="S35" s="331"/>
      <c r="T35" s="331"/>
      <c r="U35" s="331"/>
      <c r="V35" s="331"/>
      <c r="W35" s="331"/>
      <c r="X35" s="331"/>
    </row>
    <row r="36" spans="1:24" x14ac:dyDescent="0.25">
      <c r="A36" s="350"/>
      <c r="B36" s="351"/>
      <c r="C36" s="355"/>
      <c r="D36" s="50"/>
      <c r="E36" s="340"/>
      <c r="F36" s="343"/>
      <c r="G36" s="345"/>
      <c r="J36" s="50"/>
      <c r="N36" s="150"/>
      <c r="O36" s="50"/>
      <c r="P36" s="50"/>
      <c r="Q36" s="50"/>
      <c r="R36" s="331"/>
      <c r="S36" s="331"/>
      <c r="T36" s="331"/>
      <c r="U36" s="331"/>
      <c r="V36" s="331"/>
      <c r="W36" s="331"/>
      <c r="X36" s="331"/>
    </row>
    <row r="37" spans="1:24" x14ac:dyDescent="0.25">
      <c r="A37" s="353" t="str">
        <f>IF(B17&lt;&gt;"",A17&amp;" "&amp;$E$13&amp;" "&amp;B17&amp;" €/MWh","Kein Preis vorhanden")</f>
        <v>2030 Base 71,63 €/MWh</v>
      </c>
      <c r="B37" s="351"/>
      <c r="C37" s="355"/>
      <c r="D37" s="50"/>
      <c r="E37" s="344" t="str">
        <f>IF(E23&lt;&gt;"",A23&amp;" "&amp;$E$13&amp;" "&amp;E23&amp;" €/MWh","Kein Preis vorhanden")</f>
        <v>Kein Preis vorhanden</v>
      </c>
      <c r="F37" s="341"/>
      <c r="G37" s="342"/>
      <c r="J37" s="50"/>
      <c r="N37" s="50"/>
      <c r="O37" s="50"/>
      <c r="P37" s="50"/>
      <c r="Q37" s="50"/>
      <c r="R37" s="331"/>
      <c r="S37" s="331"/>
      <c r="T37" s="331"/>
      <c r="U37" s="331"/>
      <c r="V37" s="331"/>
      <c r="W37" s="331"/>
      <c r="X37" s="331"/>
    </row>
    <row r="38" spans="1:24" x14ac:dyDescent="0.25">
      <c r="A38" s="350" t="str">
        <f>IF(J17&lt;&gt;"",A17&amp;" "&amp;$J$13&amp;" "&amp;J17&amp;" €/MWh","Kein Preis vorhanden")</f>
        <v>Kein Preis vorhanden</v>
      </c>
      <c r="B38" s="356"/>
      <c r="C38" s="355"/>
      <c r="D38" s="50"/>
      <c r="E38" s="340" t="str">
        <f>IF(J23&lt;&gt;"",A23&amp;" "&amp;$J$13&amp;" "&amp;J23&amp;" €/MWh","Kein Preis vorhanden")</f>
        <v>Kein Preis vorhanden</v>
      </c>
      <c r="F38" s="341"/>
      <c r="G38" s="342"/>
      <c r="J38" s="50"/>
      <c r="N38" s="50"/>
      <c r="O38" s="50"/>
      <c r="P38" s="50"/>
      <c r="Q38" s="50"/>
      <c r="R38" s="331"/>
      <c r="S38" s="331"/>
      <c r="T38" s="331"/>
      <c r="U38" s="331"/>
      <c r="V38" s="331"/>
      <c r="W38" s="331"/>
      <c r="X38" s="331"/>
    </row>
    <row r="39" spans="1:24" x14ac:dyDescent="0.25">
      <c r="A39" s="50"/>
      <c r="B39" s="138"/>
      <c r="C39" s="50"/>
      <c r="D39" s="50"/>
      <c r="E39" s="138"/>
      <c r="F39" s="138"/>
      <c r="G39" s="138"/>
      <c r="H39" s="138"/>
      <c r="I39" s="154"/>
      <c r="J39" s="154"/>
      <c r="K39" s="138"/>
      <c r="L39" s="138"/>
      <c r="M39" s="138"/>
      <c r="N39" s="138"/>
      <c r="O39" s="138"/>
      <c r="P39" s="138"/>
      <c r="Q39" s="138"/>
      <c r="R39" s="331"/>
      <c r="S39" s="331"/>
      <c r="T39" s="331"/>
      <c r="U39" s="331"/>
      <c r="V39" s="331"/>
      <c r="W39" s="331"/>
      <c r="X39" s="331"/>
    </row>
    <row r="40" spans="1:24" x14ac:dyDescent="0.25">
      <c r="A40" s="156"/>
      <c r="B40" s="50"/>
      <c r="C40" s="156"/>
      <c r="D40" s="156"/>
      <c r="E40" s="50"/>
      <c r="F40" s="50"/>
      <c r="G40" s="50"/>
      <c r="H40" s="50"/>
      <c r="I40" s="140"/>
      <c r="J40" s="140"/>
      <c r="K40" s="50"/>
      <c r="L40" s="50"/>
      <c r="M40" s="50"/>
      <c r="N40" s="50"/>
      <c r="O40" s="50"/>
      <c r="P40" s="50"/>
      <c r="Q40" s="50"/>
      <c r="R40" s="331"/>
      <c r="S40" s="331"/>
      <c r="T40" s="331"/>
      <c r="U40" s="331"/>
      <c r="V40" s="331"/>
      <c r="W40" s="331"/>
      <c r="X40" s="331"/>
    </row>
    <row r="41" spans="1:24" ht="28.5" x14ac:dyDescent="0.25">
      <c r="A41" s="180" t="s">
        <v>60</v>
      </c>
      <c r="B41" s="180"/>
      <c r="C41" s="180"/>
      <c r="D41" s="180"/>
      <c r="E41" s="180"/>
      <c r="F41" s="180"/>
      <c r="G41" s="50"/>
      <c r="H41" s="50"/>
      <c r="I41" s="140"/>
      <c r="J41" s="140"/>
      <c r="K41" s="50"/>
      <c r="L41" s="50"/>
      <c r="M41" s="50"/>
      <c r="N41" s="50"/>
      <c r="O41" s="50"/>
      <c r="P41" s="50"/>
      <c r="Q41" s="50"/>
      <c r="R41" s="331"/>
      <c r="S41" s="331"/>
      <c r="T41" s="331"/>
      <c r="U41" s="331"/>
      <c r="V41" s="331"/>
      <c r="W41" s="331"/>
      <c r="X41" s="331"/>
    </row>
    <row r="42" spans="1:24" x14ac:dyDescent="0.25">
      <c r="A42" s="50"/>
      <c r="B42" s="50"/>
      <c r="C42" s="50"/>
      <c r="D42" s="50"/>
      <c r="E42" s="50"/>
      <c r="F42" s="50"/>
      <c r="G42" s="50"/>
      <c r="H42" s="50"/>
      <c r="I42" s="140"/>
      <c r="J42" s="160" t="s">
        <v>147</v>
      </c>
      <c r="K42" s="161">
        <f ca="1">TODAY()</f>
        <v>46206</v>
      </c>
      <c r="L42" s="50"/>
      <c r="M42" s="50"/>
      <c r="N42" s="50"/>
      <c r="O42" s="50"/>
      <c r="P42" s="50"/>
      <c r="Q42" s="50"/>
    </row>
    <row r="43" spans="1:24" ht="18.75" x14ac:dyDescent="0.3">
      <c r="A43" s="166" t="s">
        <v>66</v>
      </c>
      <c r="B43" s="98"/>
      <c r="C43" s="98"/>
      <c r="D43" s="98"/>
      <c r="E43" s="98"/>
      <c r="F43" s="98"/>
      <c r="G43" s="98"/>
      <c r="H43" s="50"/>
      <c r="I43" s="140"/>
      <c r="J43" s="162"/>
      <c r="K43" s="50"/>
      <c r="L43" s="50"/>
      <c r="M43" s="50"/>
      <c r="N43" s="50"/>
      <c r="O43" s="50"/>
      <c r="P43" s="50"/>
      <c r="Q43" s="50"/>
    </row>
    <row r="44" spans="1:24" ht="18.75" x14ac:dyDescent="0.3">
      <c r="A44" s="167"/>
      <c r="B44" s="167"/>
      <c r="C44" s="167"/>
      <c r="D44" s="98"/>
      <c r="E44" s="98"/>
      <c r="F44" s="98"/>
      <c r="G44" s="98"/>
      <c r="H44" s="50"/>
      <c r="I44" s="140"/>
      <c r="J44" s="160" t="s">
        <v>67</v>
      </c>
      <c r="K44" s="50"/>
      <c r="L44" s="50"/>
      <c r="M44" s="50"/>
      <c r="N44" s="50"/>
      <c r="O44" s="50"/>
      <c r="P44" s="50"/>
      <c r="Q44" s="50"/>
    </row>
    <row r="45" spans="1:24" ht="15.75" x14ac:dyDescent="0.25">
      <c r="A45" s="99" t="s">
        <v>28</v>
      </c>
      <c r="B45" s="100" t="s">
        <v>0</v>
      </c>
      <c r="C45" s="101" t="s">
        <v>61</v>
      </c>
      <c r="D45" s="98"/>
      <c r="E45" s="98"/>
      <c r="F45" s="98"/>
      <c r="G45" s="98"/>
      <c r="H45" s="50"/>
      <c r="I45" s="140"/>
      <c r="J45" s="346" t="str">
        <f ca="1">"S:\AUEW\EH\02_Beschaffungen\01 Offene Positionen\01_Archiv\Aufschläge Vertrieb\Aktuelle_Aufschläge_"&amp;$S$45&amp;".xlsx"</f>
        <v>S:\AUEW\EH\02_Beschaffungen\01 Offene Positionen\01_Archiv\Aufschläge Vertrieb\Aktuelle_Aufschläge_20260703.xlsx</v>
      </c>
      <c r="K45" s="346"/>
      <c r="L45" s="346"/>
      <c r="M45" s="346"/>
      <c r="N45" s="346"/>
      <c r="O45" s="346"/>
      <c r="P45" s="346"/>
      <c r="Q45" s="346"/>
      <c r="R45" s="50"/>
      <c r="S45" t="str">
        <f ca="1">YEAR(K42)&amp;IF(LEN(MONTH(K42))=1,"0","")&amp;MONTH(K42)&amp;IF(LEN(DAY(K42))=1,"0","")&amp;DAY(K42)</f>
        <v>20260703</v>
      </c>
    </row>
    <row r="46" spans="1:24" ht="15.75" x14ac:dyDescent="0.25">
      <c r="A46" s="102" t="str">
        <f>"Cal"&amp;('Position Frontjahre'!E2-2000)</f>
        <v>Cal27</v>
      </c>
      <c r="B46" s="103" t="s">
        <v>1</v>
      </c>
      <c r="C46" s="164">
        <f>B14+C14</f>
        <v>93.59</v>
      </c>
      <c r="D46" s="165"/>
      <c r="E46" s="98"/>
      <c r="F46" s="98"/>
      <c r="G46" s="98"/>
      <c r="H46" s="50"/>
      <c r="I46" s="140"/>
      <c r="J46" s="346" t="str">
        <f ca="1">"S:\AUEW\EH\02_Beschaffungen\01 Offene Positionen\01_Archiv\Aufschläge Vertrieb\Limitorder_"&amp;$S$45&amp;".xlsx"</f>
        <v>S:\AUEW\EH\02_Beschaffungen\01 Offene Positionen\01_Archiv\Aufschläge Vertrieb\Limitorder_20260703.xlsx</v>
      </c>
      <c r="K46" s="346"/>
      <c r="L46" s="346"/>
      <c r="M46" s="346"/>
      <c r="N46" s="346"/>
      <c r="O46" s="346"/>
      <c r="P46" s="346"/>
      <c r="Q46" s="346"/>
      <c r="R46" s="50"/>
    </row>
    <row r="47" spans="1:24" ht="15.75" x14ac:dyDescent="0.25">
      <c r="A47" s="102" t="str">
        <f>"Cal"&amp;('Position Frontjahre'!F2-2000)</f>
        <v>Cal28</v>
      </c>
      <c r="B47" s="103" t="s">
        <v>1</v>
      </c>
      <c r="C47" s="164">
        <f>B15+C15</f>
        <v>81.77</v>
      </c>
      <c r="D47" s="98"/>
      <c r="E47" s="98"/>
      <c r="F47" s="98"/>
      <c r="G47" s="98"/>
      <c r="H47" s="50"/>
      <c r="I47" s="140"/>
      <c r="J47" s="50"/>
      <c r="K47" s="50"/>
      <c r="L47" s="50"/>
      <c r="M47" s="50"/>
      <c r="N47" s="50"/>
      <c r="O47" s="50"/>
      <c r="P47" s="50"/>
      <c r="Q47" s="50"/>
      <c r="R47" s="50"/>
    </row>
    <row r="48" spans="1:24" ht="15.75" x14ac:dyDescent="0.25">
      <c r="A48" s="124" t="str">
        <f>"Cal"&amp;('Position Frontjahre'!G2-2000)</f>
        <v>Cal29</v>
      </c>
      <c r="B48" s="104" t="s">
        <v>1</v>
      </c>
      <c r="C48" s="170">
        <f>B16+C16</f>
        <v>76.099999999999994</v>
      </c>
      <c r="D48" s="98"/>
      <c r="E48" s="98"/>
      <c r="F48" s="98"/>
      <c r="G48" s="98"/>
      <c r="H48" s="50"/>
      <c r="I48" s="140"/>
      <c r="J48" s="50"/>
      <c r="K48" s="50"/>
      <c r="L48" s="50"/>
      <c r="M48" s="50"/>
      <c r="N48" s="50"/>
      <c r="O48" s="50"/>
      <c r="P48" s="50"/>
      <c r="Q48" s="50"/>
      <c r="R48" s="50"/>
    </row>
    <row r="49" spans="1:18" x14ac:dyDescent="0.25">
      <c r="A49" s="98"/>
      <c r="B49" s="98"/>
      <c r="C49" s="98"/>
      <c r="D49" s="98"/>
      <c r="E49" s="98"/>
      <c r="F49" s="98"/>
      <c r="G49" s="98"/>
      <c r="H49" s="50"/>
      <c r="I49" s="140"/>
      <c r="J49" s="160" t="s">
        <v>78</v>
      </c>
      <c r="K49" s="50"/>
      <c r="L49" s="50"/>
      <c r="M49" s="50"/>
      <c r="N49" s="50"/>
      <c r="O49" s="50"/>
      <c r="P49" s="50"/>
      <c r="Q49" s="50"/>
      <c r="R49" s="50"/>
    </row>
    <row r="50" spans="1:18" x14ac:dyDescent="0.25">
      <c r="A50" s="98"/>
      <c r="B50" s="98"/>
      <c r="C50" s="98"/>
      <c r="D50" s="98"/>
      <c r="E50" s="98"/>
      <c r="F50" s="98"/>
      <c r="G50" s="98"/>
      <c r="H50" s="50"/>
      <c r="I50" s="140"/>
      <c r="J50" s="162" t="s">
        <v>100</v>
      </c>
      <c r="K50" s="50"/>
      <c r="L50" s="50"/>
      <c r="M50" s="50"/>
      <c r="N50" s="50"/>
      <c r="O50" s="50"/>
      <c r="P50" s="50"/>
      <c r="Q50" s="50"/>
      <c r="R50" s="50"/>
    </row>
    <row r="51" spans="1:18" ht="15.75" thickBot="1" x14ac:dyDescent="0.3">
      <c r="A51" s="105"/>
      <c r="B51" s="105"/>
      <c r="C51" s="105"/>
      <c r="D51" s="105"/>
      <c r="E51" s="105"/>
      <c r="F51" s="105"/>
      <c r="G51" s="105"/>
      <c r="H51" s="50"/>
      <c r="I51" s="140"/>
      <c r="J51" s="140"/>
      <c r="K51" s="50"/>
      <c r="L51" s="50"/>
      <c r="M51" s="50"/>
      <c r="N51" s="50"/>
      <c r="O51" s="50"/>
      <c r="P51" s="50"/>
      <c r="Q51" s="50"/>
      <c r="R51" s="50"/>
    </row>
    <row r="52" spans="1:18" x14ac:dyDescent="0.25">
      <c r="A52" s="50"/>
      <c r="B52" s="50"/>
      <c r="C52" s="50"/>
      <c r="D52" s="50"/>
      <c r="E52" s="50"/>
      <c r="F52" s="50"/>
      <c r="G52" s="50"/>
      <c r="H52" s="50"/>
      <c r="I52" s="140"/>
      <c r="J52" s="140"/>
      <c r="K52" s="50"/>
      <c r="L52" s="50"/>
      <c r="M52" s="50"/>
      <c r="N52" s="50"/>
      <c r="O52" s="50"/>
      <c r="P52" s="50"/>
      <c r="Q52" s="50"/>
      <c r="R52" s="50"/>
    </row>
    <row r="53" spans="1:18" ht="15.75" thickBot="1" x14ac:dyDescent="0.3"/>
    <row r="54" spans="1:18" ht="21" x14ac:dyDescent="0.25">
      <c r="A54" s="182" t="s">
        <v>62</v>
      </c>
      <c r="B54" s="183"/>
      <c r="C54" s="183"/>
      <c r="D54" s="183"/>
      <c r="E54" s="183"/>
      <c r="F54" s="184"/>
      <c r="G54" s="184"/>
      <c r="H54" s="184"/>
      <c r="I54" s="240"/>
      <c r="J54" s="240"/>
      <c r="K54" s="184"/>
      <c r="L54" s="184"/>
      <c r="M54" s="184"/>
      <c r="N54" s="184"/>
      <c r="O54" s="184"/>
      <c r="P54" s="184"/>
      <c r="Q54" s="184"/>
      <c r="R54" s="184"/>
    </row>
    <row r="55" spans="1:18" x14ac:dyDescent="0.25">
      <c r="A55" s="144"/>
      <c r="B55" s="144"/>
      <c r="C55" s="144"/>
      <c r="D55" s="144"/>
      <c r="E55" s="144"/>
      <c r="F55" s="50"/>
      <c r="L55" s="50"/>
      <c r="M55" s="50"/>
      <c r="N55" s="50"/>
      <c r="O55" s="50"/>
      <c r="P55" s="50"/>
      <c r="Q55" s="50"/>
      <c r="R55" s="50"/>
    </row>
    <row r="56" spans="1:18" ht="15.75" customHeight="1" x14ac:dyDescent="0.25">
      <c r="A56" s="185" t="s">
        <v>23</v>
      </c>
      <c r="B56" s="185" t="str">
        <f>"Cal"&amp;('Position Frontjahre'!$E$2-2000)&amp;" Base"</f>
        <v>Cal27 Base</v>
      </c>
      <c r="C56" s="186" t="str">
        <f>"Cal"&amp;('Position Frontjahre'!$F$2-2000)&amp;" Base"</f>
        <v>Cal28 Base</v>
      </c>
      <c r="D56" s="185" t="str">
        <f>"Cal"&amp;('Position Frontjahre'!$G$2-2000)&amp;" Base"</f>
        <v>Cal29 Base</v>
      </c>
      <c r="E56" s="187" t="str">
        <f ca="1">"Quartale "&amp;TEXT((TODAY()+92),"JJ")&amp;" Base"</f>
        <v>Quartale 26 Base</v>
      </c>
      <c r="F56" s="226"/>
      <c r="G56" s="211" t="s">
        <v>93</v>
      </c>
      <c r="L56" s="50"/>
      <c r="M56" s="50"/>
      <c r="N56" s="50"/>
      <c r="O56" s="50"/>
      <c r="P56" s="50"/>
      <c r="Q56" s="50"/>
      <c r="R56" s="50"/>
    </row>
    <row r="57" spans="1:18" ht="15.75" customHeight="1" x14ac:dyDescent="0.25">
      <c r="A57" s="188" t="s">
        <v>63</v>
      </c>
      <c r="B57" s="188" t="s">
        <v>64</v>
      </c>
      <c r="C57" s="189" t="s">
        <v>64</v>
      </c>
      <c r="D57" s="188" t="s">
        <v>64</v>
      </c>
      <c r="E57" s="190" t="s">
        <v>64</v>
      </c>
      <c r="F57" s="208"/>
      <c r="G57" s="206" t="s">
        <v>65</v>
      </c>
      <c r="H57" s="50"/>
      <c r="L57" s="50"/>
      <c r="M57" s="50"/>
      <c r="N57" s="50"/>
      <c r="O57" s="50"/>
      <c r="P57" s="50"/>
      <c r="Q57" s="50"/>
      <c r="R57" s="50"/>
    </row>
    <row r="58" spans="1:18" ht="15.75" x14ac:dyDescent="0.25">
      <c r="A58" s="191" t="s">
        <v>80</v>
      </c>
      <c r="B58" s="106" t="s">
        <v>76</v>
      </c>
      <c r="C58" s="107" t="s">
        <v>76</v>
      </c>
      <c r="D58" s="106" t="s">
        <v>76</v>
      </c>
      <c r="E58" s="108" t="s">
        <v>68</v>
      </c>
      <c r="F58" s="209"/>
      <c r="G58" s="217" t="s">
        <v>88</v>
      </c>
      <c r="K58" s="50"/>
      <c r="L58" s="50"/>
      <c r="M58" s="50"/>
      <c r="N58" s="50"/>
      <c r="O58" s="50"/>
      <c r="P58" s="50"/>
      <c r="Q58" s="50"/>
      <c r="R58" s="198"/>
    </row>
    <row r="59" spans="1:18" ht="15.75" x14ac:dyDescent="0.25">
      <c r="A59" s="192"/>
      <c r="B59" s="175">
        <v>4</v>
      </c>
      <c r="C59" s="176">
        <v>3.5</v>
      </c>
      <c r="D59" s="175">
        <v>3</v>
      </c>
      <c r="E59" s="177">
        <v>3</v>
      </c>
      <c r="F59" s="210"/>
      <c r="G59" s="207" t="s">
        <v>90</v>
      </c>
      <c r="H59" s="196"/>
      <c r="I59" s="241"/>
      <c r="J59" s="241"/>
      <c r="K59" s="50"/>
      <c r="L59" s="50"/>
      <c r="M59" s="50"/>
      <c r="N59" s="50"/>
      <c r="O59" s="50"/>
      <c r="P59" s="50"/>
      <c r="Q59" s="50"/>
      <c r="R59" s="50"/>
    </row>
    <row r="60" spans="1:18" ht="15.75" x14ac:dyDescent="0.25">
      <c r="A60" s="191" t="s">
        <v>81</v>
      </c>
      <c r="B60" s="109" t="s">
        <v>68</v>
      </c>
      <c r="C60" s="110" t="s">
        <v>68</v>
      </c>
      <c r="D60" s="109" t="s">
        <v>68</v>
      </c>
      <c r="E60" s="108" t="s">
        <v>68</v>
      </c>
      <c r="F60" s="194"/>
      <c r="G60" s="193" t="s">
        <v>68</v>
      </c>
      <c r="H60" s="195" t="s">
        <v>89</v>
      </c>
      <c r="K60" s="126"/>
      <c r="L60" s="50"/>
      <c r="M60" s="50"/>
      <c r="N60" s="50"/>
      <c r="O60" s="50"/>
      <c r="P60" s="50"/>
      <c r="Q60" s="50"/>
      <c r="R60" s="50"/>
    </row>
    <row r="61" spans="1:18" ht="15.75" x14ac:dyDescent="0.25">
      <c r="A61" s="120"/>
      <c r="B61" s="83"/>
      <c r="C61" s="85"/>
      <c r="D61" s="83"/>
      <c r="E61" s="95"/>
      <c r="F61" s="194"/>
      <c r="G61" s="193" t="s">
        <v>76</v>
      </c>
      <c r="H61" s="197" t="s">
        <v>99</v>
      </c>
      <c r="K61" s="199"/>
      <c r="L61" s="50"/>
      <c r="M61" s="50"/>
      <c r="N61" s="50"/>
      <c r="O61" s="50"/>
      <c r="P61" s="50"/>
      <c r="Q61" s="50"/>
      <c r="R61" s="50"/>
    </row>
    <row r="62" spans="1:18" ht="16.5" thickBot="1" x14ac:dyDescent="0.3">
      <c r="A62" s="200"/>
      <c r="B62" s="200"/>
      <c r="C62" s="200"/>
      <c r="D62" s="201"/>
      <c r="E62" s="201"/>
      <c r="F62" s="202"/>
      <c r="G62" s="200"/>
      <c r="H62" s="203"/>
      <c r="I62" s="242"/>
      <c r="J62" s="242"/>
      <c r="K62" s="204"/>
      <c r="L62" s="203"/>
      <c r="M62" s="203"/>
      <c r="N62" s="203"/>
      <c r="O62" s="203"/>
      <c r="P62" s="203"/>
      <c r="Q62" s="203"/>
      <c r="R62" s="203"/>
    </row>
    <row r="63" spans="1:18" ht="15.75" x14ac:dyDescent="0.25">
      <c r="D63" s="84"/>
      <c r="E63" s="84"/>
      <c r="F63" s="86"/>
      <c r="G63" s="86"/>
      <c r="H63" s="50"/>
      <c r="I63" s="140"/>
      <c r="J63" s="140"/>
      <c r="K63" s="163"/>
      <c r="L63" s="50"/>
      <c r="M63" s="50"/>
      <c r="N63" s="50"/>
      <c r="O63" s="50"/>
      <c r="P63" s="50"/>
      <c r="Q63" s="50"/>
      <c r="R63" s="50"/>
    </row>
    <row r="64" spans="1:18" ht="18.75" x14ac:dyDescent="0.3">
      <c r="A64" s="213" t="s">
        <v>92</v>
      </c>
      <c r="B64" s="214"/>
      <c r="C64" s="214"/>
      <c r="D64" s="214"/>
      <c r="E64" s="214"/>
      <c r="F64" s="214"/>
      <c r="G64" s="215"/>
      <c r="H64" s="214"/>
      <c r="I64" s="243"/>
      <c r="J64" s="243"/>
      <c r="K64" s="216"/>
      <c r="L64" s="214"/>
      <c r="M64" s="214"/>
      <c r="N64" s="214"/>
      <c r="O64" s="214"/>
      <c r="P64" s="214"/>
      <c r="Q64" s="214"/>
      <c r="R64" s="214"/>
    </row>
    <row r="65" spans="1:18" ht="15" customHeight="1" x14ac:dyDescent="0.25">
      <c r="D65" s="168"/>
      <c r="E65" s="168"/>
      <c r="F65" s="169"/>
      <c r="G65" s="169"/>
      <c r="H65" s="50"/>
      <c r="I65" s="140"/>
      <c r="J65" s="140"/>
      <c r="K65" s="163"/>
      <c r="L65" s="50"/>
      <c r="M65" s="50"/>
      <c r="N65" s="50"/>
      <c r="O65" s="50"/>
      <c r="P65" s="50"/>
      <c r="Q65" s="50"/>
      <c r="R65" s="50"/>
    </row>
    <row r="66" spans="1:18" ht="15" customHeight="1" x14ac:dyDescent="0.25">
      <c r="A66" s="185" t="s">
        <v>0</v>
      </c>
      <c r="B66" s="185" t="str">
        <f>"Cal"&amp;('Position Frontjahre'!$E$2-2000)&amp;" Base"</f>
        <v>Cal27 Base</v>
      </c>
      <c r="C66" s="186" t="str">
        <f>"Cal"&amp;('Position Frontjahre'!$F$2-2000)&amp;" Base"</f>
        <v>Cal28 Base</v>
      </c>
      <c r="D66" s="185" t="str">
        <f>"Cal"&amp;('Position Frontjahre'!$G$2-2000)&amp;" Base"</f>
        <v>Cal29 Base</v>
      </c>
      <c r="E66" s="187" t="str">
        <f ca="1">"Quartale "&amp;TEXT((TODAY()+92),"JJ")&amp;" Base"</f>
        <v>Quartale 26 Base</v>
      </c>
      <c r="F66" s="94"/>
      <c r="G66" s="94"/>
      <c r="H66" s="50"/>
      <c r="I66" s="140"/>
      <c r="J66" s="140"/>
      <c r="K66" s="163"/>
      <c r="L66" s="50"/>
      <c r="M66" s="50"/>
      <c r="N66" s="50"/>
      <c r="O66" s="50"/>
      <c r="P66" s="50"/>
      <c r="Q66" s="50"/>
      <c r="R66" s="50"/>
    </row>
    <row r="67" spans="1:18" ht="15.75" customHeight="1" x14ac:dyDescent="0.25">
      <c r="A67" s="188"/>
      <c r="B67" s="188" t="s">
        <v>64</v>
      </c>
      <c r="C67" s="189" t="s">
        <v>64</v>
      </c>
      <c r="D67" s="188" t="s">
        <v>64</v>
      </c>
      <c r="E67" s="190" t="s">
        <v>64</v>
      </c>
      <c r="F67" s="212"/>
      <c r="G67" s="86"/>
      <c r="H67" s="50"/>
      <c r="I67" s="140"/>
      <c r="J67" s="140"/>
      <c r="K67" s="163"/>
      <c r="L67" s="50"/>
      <c r="M67" s="50"/>
      <c r="N67" s="50"/>
      <c r="O67" s="50"/>
      <c r="P67" s="50"/>
      <c r="Q67" s="50"/>
      <c r="R67" s="50"/>
    </row>
    <row r="68" spans="1:18" ht="15.75" x14ac:dyDescent="0.25">
      <c r="A68" s="219" t="s">
        <v>91</v>
      </c>
      <c r="B68" s="227">
        <f>B59</f>
        <v>4</v>
      </c>
      <c r="C68" s="227">
        <f t="shared" ref="C68:E68" si="2">C59</f>
        <v>3.5</v>
      </c>
      <c r="D68" s="227">
        <f t="shared" si="2"/>
        <v>3</v>
      </c>
      <c r="E68" s="228">
        <f t="shared" si="2"/>
        <v>3</v>
      </c>
      <c r="F68" s="212"/>
      <c r="G68" s="86"/>
      <c r="H68" s="50"/>
      <c r="I68" s="140"/>
      <c r="J68" s="140"/>
      <c r="K68" s="50"/>
      <c r="L68" s="50"/>
      <c r="M68" s="50"/>
      <c r="N68" s="50"/>
      <c r="O68" s="50"/>
      <c r="P68" s="50"/>
      <c r="Q68" s="50"/>
      <c r="R68" s="50"/>
    </row>
    <row r="69" spans="1:18" ht="15" customHeight="1" x14ac:dyDescent="0.25">
      <c r="A69" s="50"/>
      <c r="B69" s="212"/>
      <c r="C69" s="212"/>
      <c r="D69" s="212"/>
      <c r="E69" s="212"/>
      <c r="F69" s="212"/>
      <c r="G69" s="50"/>
      <c r="H69" s="50"/>
      <c r="I69" s="140"/>
      <c r="J69" s="140"/>
      <c r="K69" s="50"/>
      <c r="L69" s="50"/>
      <c r="M69" s="50"/>
      <c r="N69" s="50"/>
      <c r="O69" s="50"/>
      <c r="P69" s="50"/>
      <c r="Q69" s="50"/>
      <c r="R69" s="50"/>
    </row>
    <row r="70" spans="1:18" x14ac:dyDescent="0.25">
      <c r="A70" s="50"/>
      <c r="B70" s="212"/>
      <c r="C70" s="212"/>
      <c r="D70" s="212"/>
      <c r="E70" s="212"/>
      <c r="F70" s="212"/>
      <c r="G70" s="50"/>
      <c r="H70" s="50"/>
      <c r="I70" s="140"/>
      <c r="J70" s="140"/>
      <c r="K70" s="50"/>
      <c r="L70" s="50"/>
      <c r="M70" s="50"/>
      <c r="N70" s="50"/>
      <c r="O70" s="50"/>
      <c r="P70" s="50"/>
      <c r="Q70" s="50"/>
      <c r="R70" s="50"/>
    </row>
    <row r="71" spans="1:18" x14ac:dyDescent="0.25">
      <c r="H71" s="50"/>
      <c r="I71" s="140"/>
      <c r="J71" s="140"/>
      <c r="K71" s="50"/>
      <c r="L71" s="50"/>
      <c r="M71" s="50"/>
      <c r="N71" s="50"/>
      <c r="O71" s="50"/>
      <c r="P71" s="50"/>
      <c r="Q71" s="50"/>
      <c r="R71" s="50"/>
    </row>
  </sheetData>
  <mergeCells count="3">
    <mergeCell ref="A1:D2"/>
    <mergeCell ref="R15:X30"/>
    <mergeCell ref="Z15:AF30"/>
  </mergeCells>
  <phoneticPr fontId="28" type="noConversion"/>
  <conditionalFormatting sqref="B58:F58 G59:J59 G61 B60:H60">
    <cfRule type="cellIs" dxfId="19" priority="12" operator="equal">
      <formula>"nein"</formula>
    </cfRule>
    <cfRule type="cellIs" dxfId="18" priority="13" operator="equal">
      <formula>"ja"</formula>
    </cfRule>
  </conditionalFormatting>
  <conditionalFormatting sqref="H10">
    <cfRule type="expression" dxfId="17" priority="10">
      <formula>$H$10&lt;0</formula>
    </cfRule>
  </conditionalFormatting>
  <conditionalFormatting sqref="G59">
    <cfRule type="cellIs" dxfId="16" priority="8" operator="equal">
      <formula>"nein"</formula>
    </cfRule>
    <cfRule type="cellIs" dxfId="15" priority="9" operator="equal">
      <formula>"ja"</formula>
    </cfRule>
  </conditionalFormatting>
  <conditionalFormatting sqref="N14:N16">
    <cfRule type="expression" dxfId="14" priority="1">
      <formula>N14="Unplausibel"</formula>
    </cfRule>
    <cfRule type="expression" dxfId="13" priority="2">
      <formula>N14="Prüfen"</formula>
    </cfRule>
    <cfRule type="expression" dxfId="12" priority="3">
      <formula>N14="Plausibel"</formula>
    </cfRule>
  </conditionalFormatting>
  <dataValidations disablePrompts="1" count="1">
    <dataValidation type="list" allowBlank="1" showInputMessage="1" showErrorMessage="1" sqref="B58:E58 B60:E60" xr:uid="{7B56C07E-B930-46F9-AF82-1C40D46F027E}">
      <formula1>"ja,nein"</formula1>
    </dataValidation>
  </dataValidations>
  <hyperlinks>
    <hyperlink ref="J50" r:id="rId1" xr:uid="{E653EBB1-4E00-4F38-8639-B52E0A9885EC}"/>
  </hyperlinks>
  <pageMargins left="0.7" right="0.7" top="0.78740157499999996" bottom="0.78740157499999996" header="0.3" footer="0.3"/>
  <pageSetup paperSize="9" orientation="portrait" horizontalDpi="1200" verticalDpi="1200" r:id="rId2"/>
  <customProperties>
    <customPr name="_pios_id" r:id="rId3"/>
    <customPr name="ID" r:id="rId4"/>
  </customProperties>
  <drawing r:id="rId5"/>
  <legacyDrawing r:id="rId6"/>
  <controls>
    <mc:AlternateContent xmlns:mc="http://schemas.openxmlformats.org/markup-compatibility/2006">
      <mc:Choice Requires="x14">
        <control shapeId="11277" r:id="rId7" name="CheckASP1">
          <controlPr defaultSize="0" autoLine="0" autoPict="0" r:id="rId8">
            <anchor moveWithCells="1">
              <from>
                <xdr:col>8</xdr:col>
                <xdr:colOff>409575</xdr:colOff>
                <xdr:row>34</xdr:row>
                <xdr:rowOff>114300</xdr:rowOff>
              </from>
              <to>
                <xdr:col>11</xdr:col>
                <xdr:colOff>685800</xdr:colOff>
                <xdr:row>36</xdr:row>
                <xdr:rowOff>85725</xdr:rowOff>
              </to>
            </anchor>
          </controlPr>
        </control>
      </mc:Choice>
      <mc:Fallback>
        <control shapeId="11277" r:id="rId7" name="CheckASP1"/>
      </mc:Fallback>
    </mc:AlternateContent>
    <mc:AlternateContent xmlns:mc="http://schemas.openxmlformats.org/markup-compatibility/2006">
      <mc:Choice Requires="x14">
        <control shapeId="11265" r:id="rId9" name="Button 1">
          <controlPr defaultSize="0" print="0" autoFill="0" autoPict="0" macro="[0]!DailyMailVertrieb">
            <anchor moveWithCells="1" sizeWithCells="1">
              <from>
                <xdr:col>8</xdr:col>
                <xdr:colOff>371475</xdr:colOff>
                <xdr:row>31</xdr:row>
                <xdr:rowOff>9525</xdr:rowOff>
              </from>
              <to>
                <xdr:col>10</xdr:col>
                <xdr:colOff>657225</xdr:colOff>
                <xdr:row>33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0" r:id="rId10" name="Button 6">
          <controlPr defaultSize="0" print="0" autoFill="0" autoPict="0" macro="[0]!Tabelle2.Pricing_kopieren">
            <anchor moveWithCells="1" sizeWithCells="1">
              <from>
                <xdr:col>8</xdr:col>
                <xdr:colOff>371475</xdr:colOff>
                <xdr:row>23</xdr:row>
                <xdr:rowOff>352425</xdr:rowOff>
              </from>
              <to>
                <xdr:col>10</xdr:col>
                <xdr:colOff>638175</xdr:colOff>
                <xdr:row>26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2" r:id="rId11" name="Button 8">
          <controlPr defaultSize="0" print="0" autoFill="0" autoPict="0" macro="[0]!DailyMailVertrieb">
            <anchor moveWithCells="1" sizeWithCells="1">
              <from>
                <xdr:col>4</xdr:col>
                <xdr:colOff>295275</xdr:colOff>
                <xdr:row>44</xdr:row>
                <xdr:rowOff>104775</xdr:rowOff>
              </from>
              <to>
                <xdr:col>6</xdr:col>
                <xdr:colOff>419100</xdr:colOff>
                <xdr:row>47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9" r:id="rId12" name="Button 15">
          <controlPr defaultSize="0" print="0" autoFill="0" autoPict="0" macro="[0]!Marktkommentar">
            <anchor moveWithCells="1" sizeWithCells="1">
              <from>
                <xdr:col>8</xdr:col>
                <xdr:colOff>371475</xdr:colOff>
                <xdr:row>27</xdr:row>
                <xdr:rowOff>66675</xdr:rowOff>
              </from>
              <to>
                <xdr:col>10</xdr:col>
                <xdr:colOff>657225</xdr:colOff>
                <xdr:row>29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theme="4" tint="-0.499984740745262"/>
  </sheetPr>
  <dimension ref="A1:O648"/>
  <sheetViews>
    <sheetView zoomScaleNormal="100" workbookViewId="0">
      <pane ySplit="2" topLeftCell="A3" activePane="bottomLeft" state="frozen"/>
      <selection activeCell="M27" sqref="M27"/>
      <selection pane="bottomLeft" activeCell="C7" sqref="C7"/>
    </sheetView>
  </sheetViews>
  <sheetFormatPr baseColWidth="10" defaultColWidth="11.42578125" defaultRowHeight="15" outlineLevelCol="1" x14ac:dyDescent="0.25"/>
  <cols>
    <col min="1" max="1" width="16.5703125" style="2" bestFit="1" customWidth="1"/>
    <col min="2" max="2" width="13.5703125" style="237" bestFit="1" customWidth="1"/>
    <col min="3" max="3" width="11.42578125" style="2" customWidth="1"/>
    <col min="4" max="4" width="10" style="2" bestFit="1" customWidth="1"/>
    <col min="5" max="5" width="11.42578125" style="275" customWidth="1"/>
    <col min="6" max="6" width="11.42578125" style="2" customWidth="1"/>
    <col min="7" max="7" width="11.42578125" style="276" customWidth="1"/>
    <col min="8" max="8" width="9.5703125" style="275" hidden="1" customWidth="1" outlineLevel="1"/>
    <col min="9" max="9" width="9.5703125" style="2" hidden="1" customWidth="1" outlineLevel="1"/>
    <col min="10" max="10" width="9.5703125" style="276" hidden="1" customWidth="1" outlineLevel="1"/>
    <col min="11" max="11" width="9.5703125" style="275" customWidth="1" collapsed="1"/>
    <col min="12" max="12" width="9.5703125" style="2" customWidth="1"/>
    <col min="13" max="13" width="9.5703125" style="276" customWidth="1"/>
    <col min="14" max="14" width="146.5703125" bestFit="1" customWidth="1"/>
    <col min="15" max="15" width="14.5703125" style="276" bestFit="1" customWidth="1"/>
  </cols>
  <sheetData>
    <row r="1" spans="1:15" s="2" customFormat="1" ht="18.75" customHeight="1" x14ac:dyDescent="0.25">
      <c r="A1" s="121" t="s">
        <v>31</v>
      </c>
      <c r="B1" s="287" t="s">
        <v>131</v>
      </c>
      <c r="C1" s="247"/>
      <c r="D1" s="122"/>
      <c r="E1" s="265"/>
      <c r="F1" s="266" t="s">
        <v>133</v>
      </c>
      <c r="G1" s="267"/>
      <c r="H1" s="277"/>
      <c r="I1" s="266" t="s">
        <v>136</v>
      </c>
      <c r="J1" s="278"/>
      <c r="K1" s="277"/>
      <c r="L1" s="266" t="s">
        <v>134</v>
      </c>
      <c r="M1" s="282"/>
      <c r="N1" s="123" t="s">
        <v>70</v>
      </c>
      <c r="O1" s="278"/>
    </row>
    <row r="2" spans="1:15" s="67" customFormat="1" ht="19.5" customHeight="1" x14ac:dyDescent="0.25">
      <c r="A2" s="111" t="s">
        <v>24</v>
      </c>
      <c r="B2" s="111" t="s">
        <v>71</v>
      </c>
      <c r="C2" s="111" t="s">
        <v>27</v>
      </c>
      <c r="D2" s="111" t="s">
        <v>0</v>
      </c>
      <c r="E2" s="268">
        <v>2027</v>
      </c>
      <c r="F2" s="113">
        <v>2028</v>
      </c>
      <c r="G2" s="269">
        <v>2029</v>
      </c>
      <c r="H2" s="268">
        <v>2027</v>
      </c>
      <c r="I2" s="113">
        <v>2028</v>
      </c>
      <c r="J2" s="269">
        <v>2029</v>
      </c>
      <c r="K2" s="268">
        <v>2027</v>
      </c>
      <c r="L2" s="113">
        <v>2028</v>
      </c>
      <c r="M2" s="269">
        <v>2029</v>
      </c>
      <c r="N2" s="111" t="s">
        <v>69</v>
      </c>
      <c r="O2" s="269" t="s">
        <v>135</v>
      </c>
    </row>
    <row r="3" spans="1:15" x14ac:dyDescent="0.25">
      <c r="A3" s="96">
        <v>46234</v>
      </c>
      <c r="B3" s="238" t="s">
        <v>154</v>
      </c>
      <c r="C3" s="93" t="s">
        <v>103</v>
      </c>
      <c r="D3" s="92" t="s">
        <v>1</v>
      </c>
      <c r="E3" s="270">
        <v>482.49700000000001</v>
      </c>
      <c r="F3" s="271">
        <v>317.89800000000002</v>
      </c>
      <c r="G3" s="272"/>
      <c r="H3" s="279" t="e">
        <f>IF(E3="","",VLOOKUP("Cal"&amp;MID(E$2,3,2),Vertriebsinfos!$A$26:$C$29,IF($D3="Peak",3,2),FALSE))</f>
        <v>#N/A</v>
      </c>
      <c r="I3" s="280" t="e">
        <f>IF(F3="","",VLOOKUP("Cal"&amp;MID(F$2,3,2),Vertriebsinfos!$A$26:$C$29,IF($D3="Peak",3,2),FALSE))</f>
        <v>#N/A</v>
      </c>
      <c r="J3" s="281" t="str">
        <f>IF(G3="","",VLOOKUP("Cal"&amp;MID(G$2,3,2),Vertriebsinfos!$A$26:$C$29,IF($D3="Peak",3,2),FALSE))</f>
        <v/>
      </c>
      <c r="K3" s="283"/>
      <c r="L3" s="273"/>
      <c r="M3" s="274"/>
      <c r="N3" s="139" t="s">
        <v>149</v>
      </c>
      <c r="O3" s="281" t="e">
        <f t="shared" ref="O3:O30" si="0">IF(A3="","",IF(OR(AND(K3&lt;&gt;"",H3&gt;K3),AND(L3&lt;&gt;"",I3&gt;L3),AND(M3&lt;&gt;"",J3&gt;M3)),"ja","nein"))</f>
        <v>#N/A</v>
      </c>
    </row>
    <row r="4" spans="1:15" x14ac:dyDescent="0.25">
      <c r="A4" s="96">
        <v>46234</v>
      </c>
      <c r="B4" s="238" t="s">
        <v>155</v>
      </c>
      <c r="C4" s="93" t="s">
        <v>103</v>
      </c>
      <c r="D4" s="92" t="s">
        <v>1</v>
      </c>
      <c r="E4" s="270">
        <v>313.2</v>
      </c>
      <c r="F4" s="271">
        <v>309.37799999999999</v>
      </c>
      <c r="G4" s="272"/>
      <c r="H4" s="279" t="e">
        <f>IF(E4="","",VLOOKUP("Cal"&amp;MID(E$2,3,2),Vertriebsinfos!$A$26:$C$29,IF($D4="Peak",3,2),FALSE))</f>
        <v>#N/A</v>
      </c>
      <c r="I4" s="280" t="e">
        <f>IF(F4="","",VLOOKUP("Cal"&amp;MID(F$2,3,2),Vertriebsinfos!$A$26:$C$29,IF($D4="Peak",3,2),FALSE))</f>
        <v>#N/A</v>
      </c>
      <c r="J4" s="281" t="str">
        <f>IF(G4="","",VLOOKUP("Cal"&amp;MID(G$2,3,2),Vertriebsinfos!$A$26:$C$29,IF($D4="Peak",3,2),FALSE))</f>
        <v/>
      </c>
      <c r="K4" s="270"/>
      <c r="L4" s="271"/>
      <c r="M4" s="272"/>
      <c r="N4" s="139" t="s">
        <v>150</v>
      </c>
      <c r="O4" s="281" t="e">
        <f t="shared" si="0"/>
        <v>#N/A</v>
      </c>
    </row>
    <row r="5" spans="1:15" x14ac:dyDescent="0.25">
      <c r="A5" s="96">
        <v>46265</v>
      </c>
      <c r="B5" s="238" t="s">
        <v>155</v>
      </c>
      <c r="C5" s="93" t="s">
        <v>103</v>
      </c>
      <c r="D5" s="92" t="s">
        <v>1</v>
      </c>
      <c r="E5" s="270">
        <v>4017.6660000000002</v>
      </c>
      <c r="F5" s="271">
        <v>2333.3330000000001</v>
      </c>
      <c r="G5" s="272">
        <v>2875</v>
      </c>
      <c r="H5" s="279"/>
      <c r="I5" s="280"/>
      <c r="J5" s="281"/>
      <c r="K5" s="270"/>
      <c r="L5" s="271"/>
      <c r="M5" s="272"/>
      <c r="N5" s="139" t="s">
        <v>151</v>
      </c>
      <c r="O5" s="281" t="str">
        <f t="shared" si="0"/>
        <v>nein</v>
      </c>
    </row>
    <row r="6" spans="1:15" x14ac:dyDescent="0.25">
      <c r="A6" s="96">
        <v>46265</v>
      </c>
      <c r="B6" s="238" t="s">
        <v>156</v>
      </c>
      <c r="C6" s="93" t="s">
        <v>103</v>
      </c>
      <c r="D6" s="92" t="s">
        <v>2</v>
      </c>
      <c r="E6" s="270">
        <v>3132</v>
      </c>
      <c r="F6" s="271"/>
      <c r="G6" s="272"/>
      <c r="H6" s="279"/>
      <c r="I6" s="280"/>
      <c r="J6" s="281"/>
      <c r="K6" s="270"/>
      <c r="L6" s="271"/>
      <c r="M6" s="272"/>
      <c r="N6" s="139" t="s">
        <v>152</v>
      </c>
      <c r="O6" s="281" t="str">
        <f t="shared" si="0"/>
        <v>nein</v>
      </c>
    </row>
    <row r="7" spans="1:15" x14ac:dyDescent="0.25">
      <c r="A7" s="96"/>
      <c r="B7" s="238"/>
      <c r="C7" s="93"/>
      <c r="D7" s="92"/>
      <c r="E7" s="270"/>
      <c r="F7" s="271"/>
      <c r="G7" s="272"/>
      <c r="H7" s="279"/>
      <c r="I7" s="280"/>
      <c r="J7" s="281"/>
      <c r="K7" s="270"/>
      <c r="L7" s="271"/>
      <c r="M7" s="272"/>
      <c r="N7" s="139"/>
      <c r="O7" s="281" t="str">
        <f t="shared" si="0"/>
        <v/>
      </c>
    </row>
    <row r="8" spans="1:15" x14ac:dyDescent="0.25">
      <c r="A8" s="96"/>
      <c r="B8" s="238"/>
      <c r="C8" s="93"/>
      <c r="D8" s="92"/>
      <c r="E8" s="270"/>
      <c r="F8" s="271"/>
      <c r="G8" s="272"/>
      <c r="H8" s="279"/>
      <c r="I8" s="280"/>
      <c r="J8" s="281"/>
      <c r="K8" s="284"/>
      <c r="L8" s="92"/>
      <c r="M8" s="274"/>
      <c r="N8" s="139"/>
      <c r="O8" s="281" t="str">
        <f t="shared" si="0"/>
        <v/>
      </c>
    </row>
    <row r="9" spans="1:15" x14ac:dyDescent="0.25">
      <c r="A9" s="96"/>
      <c r="B9" s="238"/>
      <c r="C9" s="93"/>
      <c r="D9" s="92"/>
      <c r="E9" s="270"/>
      <c r="F9" s="271"/>
      <c r="G9" s="272"/>
      <c r="H9" s="279"/>
      <c r="I9" s="280"/>
      <c r="J9" s="281"/>
      <c r="K9" s="270"/>
      <c r="L9" s="271"/>
      <c r="M9" s="272"/>
      <c r="N9" s="139"/>
      <c r="O9" s="281" t="str">
        <f t="shared" si="0"/>
        <v/>
      </c>
    </row>
    <row r="10" spans="1:15" x14ac:dyDescent="0.25">
      <c r="A10" s="96"/>
      <c r="B10" s="238"/>
      <c r="C10" s="93"/>
      <c r="D10" s="92"/>
      <c r="E10" s="270"/>
      <c r="F10" s="271"/>
      <c r="G10" s="272"/>
      <c r="H10" s="279"/>
      <c r="I10" s="280"/>
      <c r="J10" s="281"/>
      <c r="K10" s="270"/>
      <c r="L10" s="271"/>
      <c r="M10" s="272"/>
      <c r="N10" s="139"/>
      <c r="O10" s="281" t="str">
        <f t="shared" si="0"/>
        <v/>
      </c>
    </row>
    <row r="11" spans="1:15" x14ac:dyDescent="0.25">
      <c r="A11" s="96"/>
      <c r="B11" s="238"/>
      <c r="C11" s="93"/>
      <c r="D11" s="92"/>
      <c r="E11" s="270"/>
      <c r="F11" s="271"/>
      <c r="G11" s="272"/>
      <c r="H11" s="279"/>
      <c r="I11" s="280"/>
      <c r="J11" s="281"/>
      <c r="K11" s="270"/>
      <c r="L11" s="271"/>
      <c r="M11" s="272"/>
      <c r="N11" s="139"/>
      <c r="O11" s="281" t="str">
        <f t="shared" si="0"/>
        <v/>
      </c>
    </row>
    <row r="12" spans="1:15" x14ac:dyDescent="0.25">
      <c r="A12" s="96"/>
      <c r="B12" s="238"/>
      <c r="C12" s="93"/>
      <c r="D12" s="92"/>
      <c r="E12" s="270"/>
      <c r="F12" s="271"/>
      <c r="G12" s="272"/>
      <c r="H12" s="279"/>
      <c r="I12" s="280"/>
      <c r="J12" s="281"/>
      <c r="K12" s="270"/>
      <c r="L12" s="271"/>
      <c r="M12" s="272"/>
      <c r="N12" s="139"/>
      <c r="O12" s="281" t="str">
        <f t="shared" si="0"/>
        <v/>
      </c>
    </row>
    <row r="13" spans="1:15" x14ac:dyDescent="0.25">
      <c r="A13" s="96"/>
      <c r="B13" s="238"/>
      <c r="C13" s="93"/>
      <c r="D13" s="92"/>
      <c r="E13" s="270"/>
      <c r="F13" s="271"/>
      <c r="G13" s="272"/>
      <c r="H13" s="279"/>
      <c r="I13" s="280"/>
      <c r="J13" s="281"/>
      <c r="K13" s="270"/>
      <c r="L13" s="271"/>
      <c r="M13" s="272"/>
      <c r="N13" s="139"/>
      <c r="O13" s="281" t="str">
        <f t="shared" si="0"/>
        <v/>
      </c>
    </row>
    <row r="14" spans="1:15" x14ac:dyDescent="0.25">
      <c r="A14" s="96"/>
      <c r="B14" s="238"/>
      <c r="C14" s="93"/>
      <c r="D14" s="92"/>
      <c r="E14" s="270"/>
      <c r="F14" s="271"/>
      <c r="G14" s="272"/>
      <c r="H14" s="279"/>
      <c r="I14" s="280"/>
      <c r="J14" s="281"/>
      <c r="K14" s="283"/>
      <c r="L14" s="273"/>
      <c r="M14" s="274"/>
      <c r="N14" s="139"/>
      <c r="O14" s="281" t="str">
        <f t="shared" si="0"/>
        <v/>
      </c>
    </row>
    <row r="15" spans="1:15" x14ac:dyDescent="0.25">
      <c r="A15" s="96"/>
      <c r="B15" s="238"/>
      <c r="C15" s="93"/>
      <c r="D15" s="92"/>
      <c r="E15" s="270"/>
      <c r="F15" s="271"/>
      <c r="G15" s="272"/>
      <c r="H15" s="279"/>
      <c r="I15" s="280"/>
      <c r="J15" s="281"/>
      <c r="K15" s="270"/>
      <c r="L15" s="271"/>
      <c r="M15" s="272"/>
      <c r="N15" s="139"/>
      <c r="O15" s="281" t="str">
        <f t="shared" si="0"/>
        <v/>
      </c>
    </row>
    <row r="16" spans="1:15" x14ac:dyDescent="0.25">
      <c r="A16" s="96"/>
      <c r="B16" s="238"/>
      <c r="C16" s="93"/>
      <c r="D16" s="92"/>
      <c r="E16" s="270"/>
      <c r="F16" s="271"/>
      <c r="G16" s="272"/>
      <c r="H16" s="279"/>
      <c r="I16" s="280"/>
      <c r="J16" s="281"/>
      <c r="K16" s="270"/>
      <c r="L16" s="271"/>
      <c r="M16" s="272"/>
      <c r="N16" s="139"/>
      <c r="O16" s="281" t="str">
        <f t="shared" si="0"/>
        <v/>
      </c>
    </row>
    <row r="17" spans="1:15" x14ac:dyDescent="0.25">
      <c r="A17" s="96"/>
      <c r="B17" s="238"/>
      <c r="C17" s="93"/>
      <c r="D17" s="92"/>
      <c r="E17" s="270"/>
      <c r="F17" s="271"/>
      <c r="G17" s="272"/>
      <c r="H17" s="279"/>
      <c r="I17" s="280"/>
      <c r="J17" s="281"/>
      <c r="K17" s="270"/>
      <c r="L17" s="271"/>
      <c r="M17" s="272"/>
      <c r="N17" s="139"/>
      <c r="O17" s="281" t="str">
        <f t="shared" si="0"/>
        <v/>
      </c>
    </row>
    <row r="18" spans="1:15" x14ac:dyDescent="0.25">
      <c r="A18" s="96"/>
      <c r="B18" s="238"/>
      <c r="C18" s="93"/>
      <c r="D18" s="92"/>
      <c r="E18" s="270"/>
      <c r="F18" s="271"/>
      <c r="G18" s="272"/>
      <c r="H18" s="279"/>
      <c r="I18" s="280"/>
      <c r="J18" s="281"/>
      <c r="K18" s="270"/>
      <c r="L18" s="271"/>
      <c r="M18" s="272"/>
      <c r="N18" s="139"/>
      <c r="O18" s="281" t="str">
        <f t="shared" si="0"/>
        <v/>
      </c>
    </row>
    <row r="19" spans="1:15" x14ac:dyDescent="0.25">
      <c r="A19" s="96"/>
      <c r="B19" s="238"/>
      <c r="C19" s="93"/>
      <c r="D19" s="92"/>
      <c r="E19" s="270"/>
      <c r="F19" s="271"/>
      <c r="G19" s="272"/>
      <c r="H19" s="279"/>
      <c r="I19" s="280"/>
      <c r="J19" s="281"/>
      <c r="K19" s="283"/>
      <c r="L19" s="273"/>
      <c r="M19" s="274"/>
      <c r="N19" s="139"/>
      <c r="O19" s="281" t="str">
        <f t="shared" si="0"/>
        <v/>
      </c>
    </row>
    <row r="20" spans="1:15" x14ac:dyDescent="0.25">
      <c r="A20" s="96"/>
      <c r="B20" s="238"/>
      <c r="C20" s="93"/>
      <c r="D20" s="92"/>
      <c r="E20" s="270"/>
      <c r="F20" s="271"/>
      <c r="G20" s="272"/>
      <c r="H20" s="279"/>
      <c r="I20" s="280"/>
      <c r="J20" s="281"/>
      <c r="K20" s="270"/>
      <c r="L20" s="271"/>
      <c r="M20" s="272"/>
      <c r="N20" s="139"/>
      <c r="O20" s="281" t="str">
        <f t="shared" si="0"/>
        <v/>
      </c>
    </row>
    <row r="21" spans="1:15" x14ac:dyDescent="0.25">
      <c r="A21" s="96"/>
      <c r="B21" s="238"/>
      <c r="C21" s="93"/>
      <c r="D21" s="92"/>
      <c r="E21" s="270"/>
      <c r="F21" s="271"/>
      <c r="G21" s="272"/>
      <c r="H21" s="279"/>
      <c r="I21" s="280"/>
      <c r="J21" s="281"/>
      <c r="K21" s="270"/>
      <c r="L21" s="271"/>
      <c r="M21" s="272"/>
      <c r="N21" s="139"/>
      <c r="O21" s="281" t="str">
        <f t="shared" si="0"/>
        <v/>
      </c>
    </row>
    <row r="22" spans="1:15" x14ac:dyDescent="0.25">
      <c r="A22" s="96"/>
      <c r="B22" s="238"/>
      <c r="C22" s="93"/>
      <c r="D22" s="92"/>
      <c r="E22" s="270"/>
      <c r="F22" s="271"/>
      <c r="G22" s="272"/>
      <c r="H22" s="279"/>
      <c r="I22" s="280"/>
      <c r="J22" s="281"/>
      <c r="K22" s="270"/>
      <c r="L22" s="271"/>
      <c r="M22" s="272"/>
      <c r="N22" s="139"/>
      <c r="O22" s="281" t="str">
        <f t="shared" si="0"/>
        <v/>
      </c>
    </row>
    <row r="23" spans="1:15" x14ac:dyDescent="0.25">
      <c r="A23" s="96"/>
      <c r="B23" s="238"/>
      <c r="C23" s="93"/>
      <c r="D23" s="92"/>
      <c r="E23" s="270"/>
      <c r="F23" s="271"/>
      <c r="G23" s="272"/>
      <c r="H23" s="279"/>
      <c r="I23" s="280"/>
      <c r="J23" s="281"/>
      <c r="K23" s="270"/>
      <c r="L23" s="271"/>
      <c r="M23" s="272"/>
      <c r="N23" s="139"/>
      <c r="O23" s="281" t="str">
        <f t="shared" si="0"/>
        <v/>
      </c>
    </row>
    <row r="24" spans="1:15" x14ac:dyDescent="0.25">
      <c r="A24" s="96"/>
      <c r="B24" s="238"/>
      <c r="C24" s="93"/>
      <c r="D24" s="92"/>
      <c r="E24" s="270"/>
      <c r="F24" s="271"/>
      <c r="G24" s="272"/>
      <c r="H24" s="279"/>
      <c r="I24" s="280"/>
      <c r="J24" s="281"/>
      <c r="K24" s="283"/>
      <c r="L24" s="273"/>
      <c r="M24" s="274"/>
      <c r="N24" s="139"/>
      <c r="O24" s="281" t="str">
        <f t="shared" si="0"/>
        <v/>
      </c>
    </row>
    <row r="25" spans="1:15" x14ac:dyDescent="0.25">
      <c r="A25" s="96"/>
      <c r="B25" s="238"/>
      <c r="C25" s="93"/>
      <c r="D25" s="92"/>
      <c r="E25" s="270"/>
      <c r="F25" s="271"/>
      <c r="G25" s="272"/>
      <c r="H25" s="279"/>
      <c r="I25" s="280"/>
      <c r="J25" s="281"/>
      <c r="K25" s="270"/>
      <c r="L25" s="271"/>
      <c r="M25" s="272"/>
      <c r="N25" s="139"/>
      <c r="O25" s="281" t="str">
        <f t="shared" si="0"/>
        <v/>
      </c>
    </row>
    <row r="26" spans="1:15" x14ac:dyDescent="0.25">
      <c r="A26" s="96"/>
      <c r="B26" s="238"/>
      <c r="C26" s="93"/>
      <c r="D26" s="92"/>
      <c r="E26" s="270"/>
      <c r="F26" s="271"/>
      <c r="G26" s="272"/>
      <c r="H26" s="279"/>
      <c r="I26" s="280"/>
      <c r="J26" s="281"/>
      <c r="K26" s="270"/>
      <c r="L26" s="271"/>
      <c r="M26" s="272"/>
      <c r="N26" s="139"/>
      <c r="O26" s="281" t="str">
        <f t="shared" si="0"/>
        <v/>
      </c>
    </row>
    <row r="27" spans="1:15" x14ac:dyDescent="0.25">
      <c r="A27" s="96"/>
      <c r="B27" s="238"/>
      <c r="C27" s="93"/>
      <c r="D27" s="92"/>
      <c r="E27" s="270"/>
      <c r="F27" s="271"/>
      <c r="G27" s="272"/>
      <c r="H27" s="279"/>
      <c r="I27" s="280"/>
      <c r="J27" s="281"/>
      <c r="K27" s="270"/>
      <c r="L27" s="271"/>
      <c r="M27" s="272"/>
      <c r="N27" s="139"/>
      <c r="O27" s="281" t="str">
        <f t="shared" si="0"/>
        <v/>
      </c>
    </row>
    <row r="28" spans="1:15" x14ac:dyDescent="0.25">
      <c r="A28" s="96"/>
      <c r="B28" s="238"/>
      <c r="C28" s="93"/>
      <c r="D28" s="92"/>
      <c r="E28" s="270"/>
      <c r="F28" s="271"/>
      <c r="G28" s="272"/>
      <c r="H28" s="279"/>
      <c r="I28" s="280"/>
      <c r="J28" s="281"/>
      <c r="K28" s="270"/>
      <c r="L28" s="271"/>
      <c r="M28" s="272"/>
      <c r="N28" s="139"/>
      <c r="O28" s="281" t="str">
        <f t="shared" si="0"/>
        <v/>
      </c>
    </row>
    <row r="29" spans="1:15" x14ac:dyDescent="0.25">
      <c r="A29" s="96"/>
      <c r="B29" s="238"/>
      <c r="C29" s="93"/>
      <c r="D29" s="92"/>
      <c r="E29" s="270"/>
      <c r="F29" s="271"/>
      <c r="G29" s="272"/>
      <c r="H29" s="279"/>
      <c r="I29" s="280"/>
      <c r="J29" s="281"/>
      <c r="K29" s="270"/>
      <c r="L29" s="271"/>
      <c r="M29" s="272"/>
      <c r="N29" s="139"/>
      <c r="O29" s="281" t="str">
        <f t="shared" si="0"/>
        <v/>
      </c>
    </row>
    <row r="30" spans="1:15" x14ac:dyDescent="0.25">
      <c r="A30" s="96"/>
      <c r="B30" s="238"/>
      <c r="C30" s="93"/>
      <c r="D30" s="92"/>
      <c r="E30" s="270"/>
      <c r="F30" s="271"/>
      <c r="G30" s="272"/>
      <c r="H30" s="279"/>
      <c r="I30" s="280"/>
      <c r="J30" s="281"/>
      <c r="K30" s="284"/>
      <c r="L30" s="92"/>
      <c r="M30" s="274"/>
      <c r="N30" s="139"/>
      <c r="O30" s="281" t="str">
        <f t="shared" si="0"/>
        <v/>
      </c>
    </row>
    <row r="31" spans="1:15" x14ac:dyDescent="0.25">
      <c r="A31" s="96"/>
      <c r="B31" s="238"/>
      <c r="C31" s="93"/>
      <c r="D31" s="92"/>
      <c r="E31" s="270"/>
      <c r="F31" s="271"/>
      <c r="G31" s="272"/>
      <c r="H31" s="279"/>
      <c r="I31" s="280"/>
      <c r="J31" s="281"/>
      <c r="K31" s="270"/>
      <c r="L31" s="271"/>
      <c r="M31" s="272"/>
      <c r="N31" s="139"/>
      <c r="O31" s="281" t="str">
        <f t="shared" ref="O31:O81" si="1">IF(A31="","",IF(OR(AND(K31&lt;&gt;"",H31&gt;K31),AND(L31&lt;&gt;"",I31&gt;L31),AND(M31&lt;&gt;"",J31&gt;M31)),"ja","nein"))</f>
        <v/>
      </c>
    </row>
    <row r="32" spans="1:15" x14ac:dyDescent="0.25">
      <c r="A32" s="96"/>
      <c r="B32" s="238"/>
      <c r="C32" s="93"/>
      <c r="D32" s="92"/>
      <c r="E32" s="270"/>
      <c r="F32" s="271"/>
      <c r="G32" s="272"/>
      <c r="H32" s="279"/>
      <c r="I32" s="280"/>
      <c r="J32" s="281"/>
      <c r="K32" s="270"/>
      <c r="L32" s="271"/>
      <c r="M32" s="272"/>
      <c r="N32" s="139"/>
      <c r="O32" s="281" t="str">
        <f t="shared" si="1"/>
        <v/>
      </c>
    </row>
    <row r="33" spans="1:15" x14ac:dyDescent="0.25">
      <c r="A33" s="96"/>
      <c r="B33" s="238"/>
      <c r="C33" s="93"/>
      <c r="D33" s="92"/>
      <c r="E33" s="270"/>
      <c r="F33" s="271"/>
      <c r="G33" s="272"/>
      <c r="H33" s="279"/>
      <c r="I33" s="280"/>
      <c r="J33" s="281"/>
      <c r="K33" s="270"/>
      <c r="L33" s="271"/>
      <c r="M33" s="272"/>
      <c r="N33" s="139"/>
      <c r="O33" s="281" t="str">
        <f t="shared" si="1"/>
        <v/>
      </c>
    </row>
    <row r="34" spans="1:15" s="307" customFormat="1" x14ac:dyDescent="0.25">
      <c r="A34" s="96"/>
      <c r="B34" s="238"/>
      <c r="C34" s="93"/>
      <c r="D34" s="92"/>
      <c r="E34" s="270"/>
      <c r="F34" s="271"/>
      <c r="G34" s="272"/>
      <c r="H34" s="279"/>
      <c r="I34" s="280"/>
      <c r="J34" s="281"/>
      <c r="K34" s="270"/>
      <c r="L34" s="271"/>
      <c r="M34" s="272"/>
      <c r="N34" s="139"/>
      <c r="O34" s="281" t="str">
        <f t="shared" si="1"/>
        <v/>
      </c>
    </row>
    <row r="35" spans="1:15" s="307" customFormat="1" x14ac:dyDescent="0.25">
      <c r="A35" s="295"/>
      <c r="B35" s="238"/>
      <c r="C35" s="296"/>
      <c r="D35" s="297"/>
      <c r="E35" s="298"/>
      <c r="F35" s="299"/>
      <c r="G35" s="300"/>
      <c r="H35" s="301"/>
      <c r="I35" s="302"/>
      <c r="J35" s="303"/>
      <c r="K35" s="304"/>
      <c r="L35" s="305"/>
      <c r="M35" s="306"/>
      <c r="N35" s="139"/>
      <c r="O35" s="281" t="str">
        <f t="shared" si="1"/>
        <v/>
      </c>
    </row>
    <row r="36" spans="1:15" s="307" customFormat="1" x14ac:dyDescent="0.25">
      <c r="A36" s="295"/>
      <c r="B36" s="238"/>
      <c r="C36" s="296"/>
      <c r="D36" s="297"/>
      <c r="E36" s="298"/>
      <c r="F36" s="299"/>
      <c r="G36" s="300"/>
      <c r="H36" s="301"/>
      <c r="I36" s="302"/>
      <c r="J36" s="303"/>
      <c r="K36" s="298"/>
      <c r="L36" s="299"/>
      <c r="M36" s="300"/>
      <c r="N36" s="139"/>
      <c r="O36" s="281" t="str">
        <f t="shared" si="1"/>
        <v/>
      </c>
    </row>
    <row r="37" spans="1:15" s="307" customFormat="1" x14ac:dyDescent="0.25">
      <c r="A37" s="295"/>
      <c r="B37" s="238"/>
      <c r="C37" s="296"/>
      <c r="D37" s="297"/>
      <c r="E37" s="298"/>
      <c r="F37" s="299"/>
      <c r="G37" s="300"/>
      <c r="H37" s="301"/>
      <c r="I37" s="302"/>
      <c r="J37" s="303"/>
      <c r="K37" s="298"/>
      <c r="L37" s="299"/>
      <c r="M37" s="300"/>
      <c r="N37" s="139"/>
      <c r="O37" s="281" t="str">
        <f t="shared" si="1"/>
        <v/>
      </c>
    </row>
    <row r="38" spans="1:15" s="307" customFormat="1" x14ac:dyDescent="0.25">
      <c r="A38" s="295"/>
      <c r="B38" s="238"/>
      <c r="C38" s="296"/>
      <c r="D38" s="297"/>
      <c r="E38" s="298"/>
      <c r="F38" s="299"/>
      <c r="G38" s="300"/>
      <c r="H38" s="301"/>
      <c r="I38" s="302"/>
      <c r="J38" s="303"/>
      <c r="K38" s="304"/>
      <c r="L38" s="305"/>
      <c r="M38" s="306"/>
      <c r="N38" s="139"/>
      <c r="O38" s="281" t="str">
        <f t="shared" si="1"/>
        <v/>
      </c>
    </row>
    <row r="39" spans="1:15" s="307" customFormat="1" x14ac:dyDescent="0.25">
      <c r="A39" s="295"/>
      <c r="B39" s="238"/>
      <c r="C39" s="296"/>
      <c r="D39" s="297"/>
      <c r="E39" s="298"/>
      <c r="F39" s="299"/>
      <c r="G39" s="300"/>
      <c r="H39" s="301"/>
      <c r="I39" s="302"/>
      <c r="J39" s="303"/>
      <c r="K39" s="298"/>
      <c r="L39" s="299"/>
      <c r="M39" s="300"/>
      <c r="N39" s="139"/>
      <c r="O39" s="281" t="str">
        <f t="shared" si="1"/>
        <v/>
      </c>
    </row>
    <row r="40" spans="1:15" s="307" customFormat="1" x14ac:dyDescent="0.25">
      <c r="A40" s="295"/>
      <c r="B40" s="238"/>
      <c r="C40" s="296"/>
      <c r="D40" s="297"/>
      <c r="E40" s="298"/>
      <c r="F40" s="299"/>
      <c r="G40" s="300"/>
      <c r="H40" s="301"/>
      <c r="I40" s="302"/>
      <c r="J40" s="303"/>
      <c r="K40" s="298"/>
      <c r="L40" s="299"/>
      <c r="M40" s="300"/>
      <c r="N40" s="139"/>
      <c r="O40" s="281" t="str">
        <f t="shared" si="1"/>
        <v/>
      </c>
    </row>
    <row r="41" spans="1:15" s="307" customFormat="1" x14ac:dyDescent="0.25">
      <c r="A41" s="295"/>
      <c r="B41" s="238"/>
      <c r="C41" s="296"/>
      <c r="D41" s="297"/>
      <c r="E41" s="298"/>
      <c r="F41" s="299"/>
      <c r="G41" s="300"/>
      <c r="H41" s="301"/>
      <c r="I41" s="302"/>
      <c r="J41" s="303"/>
      <c r="K41" s="304"/>
      <c r="L41" s="305"/>
      <c r="M41" s="306"/>
      <c r="N41" s="139"/>
      <c r="O41" s="281" t="str">
        <f t="shared" si="1"/>
        <v/>
      </c>
    </row>
    <row r="42" spans="1:15" s="307" customFormat="1" x14ac:dyDescent="0.25">
      <c r="A42" s="295"/>
      <c r="B42" s="238"/>
      <c r="C42" s="296"/>
      <c r="D42" s="297"/>
      <c r="E42" s="298"/>
      <c r="F42" s="299"/>
      <c r="G42" s="300"/>
      <c r="H42" s="301"/>
      <c r="I42" s="302"/>
      <c r="J42" s="303"/>
      <c r="K42" s="298"/>
      <c r="L42" s="299"/>
      <c r="M42" s="300"/>
      <c r="N42" s="139"/>
      <c r="O42" s="281" t="str">
        <f t="shared" si="1"/>
        <v/>
      </c>
    </row>
    <row r="43" spans="1:15" s="307" customFormat="1" x14ac:dyDescent="0.25">
      <c r="A43" s="295"/>
      <c r="B43" s="238"/>
      <c r="C43" s="296"/>
      <c r="D43" s="297"/>
      <c r="E43" s="298"/>
      <c r="F43" s="299"/>
      <c r="G43" s="300"/>
      <c r="H43" s="301"/>
      <c r="I43" s="302"/>
      <c r="J43" s="303"/>
      <c r="K43" s="298"/>
      <c r="L43" s="299"/>
      <c r="M43" s="300"/>
      <c r="N43" s="139"/>
      <c r="O43" s="281" t="str">
        <f t="shared" si="1"/>
        <v/>
      </c>
    </row>
    <row r="44" spans="1:15" s="307" customFormat="1" x14ac:dyDescent="0.25">
      <c r="A44" s="295"/>
      <c r="B44" s="238"/>
      <c r="C44" s="296"/>
      <c r="D44" s="297"/>
      <c r="E44" s="298"/>
      <c r="F44" s="299"/>
      <c r="G44" s="300"/>
      <c r="H44" s="301"/>
      <c r="I44" s="302"/>
      <c r="J44" s="303"/>
      <c r="K44" s="308"/>
      <c r="L44" s="297"/>
      <c r="M44" s="306"/>
      <c r="N44" s="139"/>
      <c r="O44" s="281" t="str">
        <f t="shared" si="1"/>
        <v/>
      </c>
    </row>
    <row r="45" spans="1:15" s="307" customFormat="1" x14ac:dyDescent="0.25">
      <c r="A45" s="295"/>
      <c r="B45" s="238"/>
      <c r="C45" s="296"/>
      <c r="D45" s="297"/>
      <c r="E45" s="298"/>
      <c r="F45" s="299"/>
      <c r="G45" s="300"/>
      <c r="H45" s="301"/>
      <c r="I45" s="302"/>
      <c r="J45" s="303"/>
      <c r="K45" s="298"/>
      <c r="L45" s="299"/>
      <c r="M45" s="300"/>
      <c r="N45" s="139"/>
      <c r="O45" s="281" t="str">
        <f t="shared" si="1"/>
        <v/>
      </c>
    </row>
    <row r="46" spans="1:15" s="307" customFormat="1" x14ac:dyDescent="0.25">
      <c r="A46" s="295"/>
      <c r="B46" s="238"/>
      <c r="C46" s="296"/>
      <c r="D46" s="297"/>
      <c r="E46" s="298"/>
      <c r="F46" s="299"/>
      <c r="G46" s="300"/>
      <c r="H46" s="301"/>
      <c r="I46" s="302"/>
      <c r="J46" s="303"/>
      <c r="K46" s="298"/>
      <c r="L46" s="299"/>
      <c r="M46" s="300"/>
      <c r="N46" s="139"/>
      <c r="O46" s="281" t="str">
        <f t="shared" si="1"/>
        <v/>
      </c>
    </row>
    <row r="47" spans="1:15" s="307" customFormat="1" x14ac:dyDescent="0.25">
      <c r="A47" s="295"/>
      <c r="B47" s="238"/>
      <c r="C47" s="296"/>
      <c r="D47" s="297"/>
      <c r="E47" s="298"/>
      <c r="F47" s="299"/>
      <c r="G47" s="300"/>
      <c r="H47" s="301"/>
      <c r="I47" s="302"/>
      <c r="J47" s="303"/>
      <c r="K47" s="304"/>
      <c r="L47" s="305"/>
      <c r="M47" s="306"/>
      <c r="N47" s="139"/>
      <c r="O47" s="281" t="str">
        <f t="shared" si="1"/>
        <v/>
      </c>
    </row>
    <row r="48" spans="1:15" s="307" customFormat="1" x14ac:dyDescent="0.25">
      <c r="A48" s="295"/>
      <c r="B48" s="238"/>
      <c r="C48" s="296"/>
      <c r="D48" s="297"/>
      <c r="E48" s="298"/>
      <c r="F48" s="299"/>
      <c r="G48" s="300"/>
      <c r="H48" s="301"/>
      <c r="I48" s="302"/>
      <c r="J48" s="303"/>
      <c r="K48" s="298"/>
      <c r="L48" s="299"/>
      <c r="M48" s="300"/>
      <c r="N48" s="139"/>
      <c r="O48" s="281" t="str">
        <f t="shared" si="1"/>
        <v/>
      </c>
    </row>
    <row r="49" spans="1:15" s="307" customFormat="1" x14ac:dyDescent="0.25">
      <c r="A49" s="295"/>
      <c r="B49" s="238"/>
      <c r="C49" s="296"/>
      <c r="D49" s="297"/>
      <c r="E49" s="298"/>
      <c r="F49" s="299"/>
      <c r="G49" s="300"/>
      <c r="H49" s="301"/>
      <c r="I49" s="302"/>
      <c r="J49" s="303"/>
      <c r="K49" s="298"/>
      <c r="L49" s="299"/>
      <c r="M49" s="300"/>
      <c r="N49" s="139"/>
      <c r="O49" s="281" t="str">
        <f t="shared" si="1"/>
        <v/>
      </c>
    </row>
    <row r="50" spans="1:15" s="307" customFormat="1" x14ac:dyDescent="0.25">
      <c r="A50" s="295"/>
      <c r="B50" s="238"/>
      <c r="C50" s="296"/>
      <c r="D50" s="297"/>
      <c r="E50" s="298"/>
      <c r="F50" s="299"/>
      <c r="G50" s="300"/>
      <c r="H50" s="301"/>
      <c r="I50" s="302"/>
      <c r="J50" s="303"/>
      <c r="K50" s="304"/>
      <c r="L50" s="305"/>
      <c r="M50" s="306"/>
      <c r="N50" s="139"/>
      <c r="O50" s="281" t="str">
        <f t="shared" si="1"/>
        <v/>
      </c>
    </row>
    <row r="51" spans="1:15" s="307" customFormat="1" x14ac:dyDescent="0.25">
      <c r="A51" s="295"/>
      <c r="B51" s="238"/>
      <c r="C51" s="296"/>
      <c r="D51" s="297"/>
      <c r="E51" s="298"/>
      <c r="F51" s="299"/>
      <c r="G51" s="300"/>
      <c r="H51" s="301"/>
      <c r="I51" s="302"/>
      <c r="J51" s="303"/>
      <c r="K51" s="298"/>
      <c r="L51" s="299"/>
      <c r="M51" s="300"/>
      <c r="N51" s="139"/>
      <c r="O51" s="281" t="str">
        <f t="shared" si="1"/>
        <v/>
      </c>
    </row>
    <row r="52" spans="1:15" s="307" customFormat="1" x14ac:dyDescent="0.25">
      <c r="A52" s="295"/>
      <c r="B52" s="238"/>
      <c r="C52" s="296"/>
      <c r="D52" s="297"/>
      <c r="E52" s="298"/>
      <c r="F52" s="299"/>
      <c r="G52" s="300"/>
      <c r="H52" s="301"/>
      <c r="I52" s="302"/>
      <c r="J52" s="303"/>
      <c r="K52" s="298"/>
      <c r="L52" s="299"/>
      <c r="M52" s="300"/>
      <c r="N52" s="139"/>
      <c r="O52" s="281" t="str">
        <f t="shared" si="1"/>
        <v/>
      </c>
    </row>
    <row r="53" spans="1:15" s="307" customFormat="1" x14ac:dyDescent="0.25">
      <c r="A53" s="295"/>
      <c r="B53" s="238"/>
      <c r="C53" s="296"/>
      <c r="D53" s="297"/>
      <c r="E53" s="298"/>
      <c r="F53" s="299"/>
      <c r="G53" s="300"/>
      <c r="H53" s="301"/>
      <c r="I53" s="302"/>
      <c r="J53" s="303"/>
      <c r="K53" s="304"/>
      <c r="L53" s="305"/>
      <c r="M53" s="306"/>
      <c r="N53" s="139"/>
      <c r="O53" s="281" t="str">
        <f t="shared" si="1"/>
        <v/>
      </c>
    </row>
    <row r="54" spans="1:15" s="307" customFormat="1" x14ac:dyDescent="0.25">
      <c r="A54" s="295"/>
      <c r="B54" s="238"/>
      <c r="C54" s="296"/>
      <c r="D54" s="297"/>
      <c r="E54" s="298"/>
      <c r="F54" s="299"/>
      <c r="G54" s="300"/>
      <c r="H54" s="301"/>
      <c r="I54" s="302"/>
      <c r="J54" s="303"/>
      <c r="K54" s="298"/>
      <c r="L54" s="299"/>
      <c r="M54" s="300"/>
      <c r="N54" s="139"/>
      <c r="O54" s="281" t="str">
        <f t="shared" si="1"/>
        <v/>
      </c>
    </row>
    <row r="55" spans="1:15" s="307" customFormat="1" x14ac:dyDescent="0.25">
      <c r="A55" s="295"/>
      <c r="B55" s="238"/>
      <c r="C55" s="296"/>
      <c r="D55" s="297"/>
      <c r="E55" s="298"/>
      <c r="F55" s="299"/>
      <c r="G55" s="300"/>
      <c r="H55" s="301"/>
      <c r="I55" s="302"/>
      <c r="J55" s="303"/>
      <c r="K55" s="298"/>
      <c r="L55" s="299"/>
      <c r="M55" s="300"/>
      <c r="N55" s="139"/>
      <c r="O55" s="281" t="str">
        <f t="shared" si="1"/>
        <v/>
      </c>
    </row>
    <row r="56" spans="1:15" s="307" customFormat="1" x14ac:dyDescent="0.25">
      <c r="A56" s="295"/>
      <c r="B56" s="238"/>
      <c r="C56" s="296"/>
      <c r="D56" s="297"/>
      <c r="E56" s="298"/>
      <c r="F56" s="299"/>
      <c r="G56" s="300"/>
      <c r="H56" s="301"/>
      <c r="I56" s="302"/>
      <c r="J56" s="303"/>
      <c r="K56" s="304"/>
      <c r="L56" s="297"/>
      <c r="M56" s="306"/>
      <c r="N56" s="139"/>
      <c r="O56" s="281" t="str">
        <f t="shared" si="1"/>
        <v/>
      </c>
    </row>
    <row r="57" spans="1:15" s="307" customFormat="1" x14ac:dyDescent="0.25">
      <c r="A57" s="295"/>
      <c r="B57" s="238"/>
      <c r="C57" s="296"/>
      <c r="D57" s="297"/>
      <c r="E57" s="298"/>
      <c r="F57" s="299"/>
      <c r="G57" s="300"/>
      <c r="H57" s="301"/>
      <c r="I57" s="302"/>
      <c r="J57" s="303"/>
      <c r="K57" s="298"/>
      <c r="L57" s="299"/>
      <c r="M57" s="300"/>
      <c r="N57" s="139"/>
      <c r="O57" s="281" t="str">
        <f t="shared" si="1"/>
        <v/>
      </c>
    </row>
    <row r="58" spans="1:15" s="307" customFormat="1" x14ac:dyDescent="0.25">
      <c r="A58" s="295"/>
      <c r="B58" s="238"/>
      <c r="C58" s="296"/>
      <c r="D58" s="297"/>
      <c r="E58" s="298"/>
      <c r="F58" s="299"/>
      <c r="G58" s="300"/>
      <c r="H58" s="301"/>
      <c r="I58" s="302"/>
      <c r="J58" s="303"/>
      <c r="K58" s="298"/>
      <c r="L58" s="299"/>
      <c r="M58" s="300"/>
      <c r="N58" s="139"/>
      <c r="O58" s="281" t="str">
        <f t="shared" si="1"/>
        <v/>
      </c>
    </row>
    <row r="59" spans="1:15" s="307" customFormat="1" x14ac:dyDescent="0.25">
      <c r="A59" s="295"/>
      <c r="B59" s="238"/>
      <c r="C59" s="296"/>
      <c r="D59" s="297"/>
      <c r="E59" s="298"/>
      <c r="F59" s="299"/>
      <c r="G59" s="300"/>
      <c r="H59" s="301"/>
      <c r="I59" s="302"/>
      <c r="J59" s="303"/>
      <c r="K59" s="304"/>
      <c r="L59" s="305"/>
      <c r="M59" s="306"/>
      <c r="N59" s="139"/>
      <c r="O59" s="281" t="str">
        <f t="shared" si="1"/>
        <v/>
      </c>
    </row>
    <row r="60" spans="1:15" s="307" customFormat="1" x14ac:dyDescent="0.25">
      <c r="A60" s="295"/>
      <c r="B60" s="238"/>
      <c r="C60" s="296"/>
      <c r="D60" s="297"/>
      <c r="E60" s="298"/>
      <c r="F60" s="299"/>
      <c r="G60" s="300"/>
      <c r="H60" s="301"/>
      <c r="I60" s="302"/>
      <c r="J60" s="303"/>
      <c r="K60" s="298"/>
      <c r="L60" s="299"/>
      <c r="M60" s="300"/>
      <c r="N60" s="139"/>
      <c r="O60" s="281" t="str">
        <f t="shared" si="1"/>
        <v/>
      </c>
    </row>
    <row r="61" spans="1:15" s="307" customFormat="1" x14ac:dyDescent="0.25">
      <c r="A61" s="295"/>
      <c r="B61" s="238"/>
      <c r="C61" s="296"/>
      <c r="D61" s="297"/>
      <c r="E61" s="298"/>
      <c r="F61" s="299"/>
      <c r="G61" s="300"/>
      <c r="H61" s="301"/>
      <c r="I61" s="302"/>
      <c r="J61" s="303"/>
      <c r="K61" s="298"/>
      <c r="L61" s="299"/>
      <c r="M61" s="300"/>
      <c r="N61" s="139"/>
      <c r="O61" s="281" t="str">
        <f t="shared" si="1"/>
        <v/>
      </c>
    </row>
    <row r="62" spans="1:15" s="307" customFormat="1" x14ac:dyDescent="0.25">
      <c r="A62" s="295"/>
      <c r="B62" s="238"/>
      <c r="C62" s="296"/>
      <c r="D62" s="297"/>
      <c r="E62" s="298"/>
      <c r="F62" s="299"/>
      <c r="G62" s="300"/>
      <c r="H62" s="301"/>
      <c r="I62" s="302"/>
      <c r="J62" s="303"/>
      <c r="K62" s="304"/>
      <c r="L62" s="305"/>
      <c r="M62" s="306"/>
      <c r="N62" s="139"/>
      <c r="O62" s="281" t="str">
        <f t="shared" si="1"/>
        <v/>
      </c>
    </row>
    <row r="63" spans="1:15" s="307" customFormat="1" x14ac:dyDescent="0.25">
      <c r="A63" s="295"/>
      <c r="B63" s="238"/>
      <c r="C63" s="296"/>
      <c r="D63" s="297"/>
      <c r="E63" s="298"/>
      <c r="F63" s="299"/>
      <c r="G63" s="300"/>
      <c r="H63" s="301"/>
      <c r="I63" s="302"/>
      <c r="J63" s="303"/>
      <c r="K63" s="298"/>
      <c r="L63" s="299"/>
      <c r="M63" s="300"/>
      <c r="N63" s="139"/>
      <c r="O63" s="281" t="str">
        <f t="shared" si="1"/>
        <v/>
      </c>
    </row>
    <row r="64" spans="1:15" s="307" customFormat="1" x14ac:dyDescent="0.25">
      <c r="A64" s="295"/>
      <c r="B64" s="238"/>
      <c r="C64" s="296"/>
      <c r="D64" s="297"/>
      <c r="E64" s="298"/>
      <c r="F64" s="299"/>
      <c r="G64" s="300"/>
      <c r="H64" s="301"/>
      <c r="I64" s="302"/>
      <c r="J64" s="303"/>
      <c r="K64" s="298"/>
      <c r="L64" s="299"/>
      <c r="M64" s="300"/>
      <c r="N64" s="139"/>
      <c r="O64" s="281" t="str">
        <f t="shared" si="1"/>
        <v/>
      </c>
    </row>
    <row r="65" spans="1:15" s="307" customFormat="1" x14ac:dyDescent="0.25">
      <c r="A65" s="295"/>
      <c r="B65" s="238"/>
      <c r="C65" s="296"/>
      <c r="D65" s="297"/>
      <c r="E65" s="298"/>
      <c r="F65" s="299"/>
      <c r="G65" s="300"/>
      <c r="H65" s="301"/>
      <c r="I65" s="302"/>
      <c r="J65" s="303"/>
      <c r="K65" s="304"/>
      <c r="L65" s="305"/>
      <c r="M65" s="306"/>
      <c r="N65" s="139"/>
      <c r="O65" s="281" t="str">
        <f t="shared" si="1"/>
        <v/>
      </c>
    </row>
    <row r="66" spans="1:15" s="307" customFormat="1" x14ac:dyDescent="0.25">
      <c r="A66" s="295"/>
      <c r="B66" s="238"/>
      <c r="C66" s="296"/>
      <c r="D66" s="297"/>
      <c r="E66" s="298"/>
      <c r="F66" s="299"/>
      <c r="G66" s="300"/>
      <c r="H66" s="301"/>
      <c r="I66" s="302"/>
      <c r="J66" s="303"/>
      <c r="K66" s="298"/>
      <c r="L66" s="299"/>
      <c r="M66" s="300"/>
      <c r="N66" s="139"/>
      <c r="O66" s="281" t="str">
        <f t="shared" si="1"/>
        <v/>
      </c>
    </row>
    <row r="67" spans="1:15" s="307" customFormat="1" x14ac:dyDescent="0.25">
      <c r="A67" s="295"/>
      <c r="B67" s="238"/>
      <c r="C67" s="296"/>
      <c r="D67" s="297"/>
      <c r="E67" s="298"/>
      <c r="F67" s="299"/>
      <c r="G67" s="300"/>
      <c r="H67" s="301"/>
      <c r="I67" s="302"/>
      <c r="J67" s="303"/>
      <c r="K67" s="298"/>
      <c r="L67" s="299"/>
      <c r="M67" s="300"/>
      <c r="N67" s="139"/>
      <c r="O67" s="281" t="str">
        <f t="shared" si="1"/>
        <v/>
      </c>
    </row>
    <row r="68" spans="1:15" s="307" customFormat="1" x14ac:dyDescent="0.25">
      <c r="A68" s="295"/>
      <c r="B68" s="238"/>
      <c r="C68" s="296"/>
      <c r="D68" s="297"/>
      <c r="E68" s="298"/>
      <c r="F68" s="299"/>
      <c r="G68" s="300"/>
      <c r="H68" s="301"/>
      <c r="I68" s="302"/>
      <c r="J68" s="303"/>
      <c r="K68" s="304"/>
      <c r="L68" s="297"/>
      <c r="M68" s="306"/>
      <c r="N68" s="139"/>
      <c r="O68" s="281" t="str">
        <f t="shared" si="1"/>
        <v/>
      </c>
    </row>
    <row r="69" spans="1:15" s="307" customFormat="1" x14ac:dyDescent="0.25">
      <c r="A69" s="295"/>
      <c r="B69" s="238"/>
      <c r="C69" s="296"/>
      <c r="D69" s="297"/>
      <c r="E69" s="298"/>
      <c r="F69" s="299"/>
      <c r="G69" s="300"/>
      <c r="H69" s="301"/>
      <c r="I69" s="302"/>
      <c r="J69" s="303"/>
      <c r="K69" s="298"/>
      <c r="L69" s="299"/>
      <c r="M69" s="300"/>
      <c r="N69" s="139"/>
      <c r="O69" s="281" t="str">
        <f t="shared" si="1"/>
        <v/>
      </c>
    </row>
    <row r="70" spans="1:15" x14ac:dyDescent="0.25">
      <c r="A70" s="295"/>
      <c r="B70" s="238"/>
      <c r="C70" s="296"/>
      <c r="D70" s="297"/>
      <c r="E70" s="298"/>
      <c r="F70" s="299"/>
      <c r="G70" s="300"/>
      <c r="H70" s="301"/>
      <c r="I70" s="302"/>
      <c r="J70" s="303"/>
      <c r="K70" s="298"/>
      <c r="L70" s="299"/>
      <c r="M70" s="300"/>
      <c r="N70" s="139"/>
      <c r="O70" s="281" t="str">
        <f t="shared" si="1"/>
        <v/>
      </c>
    </row>
    <row r="71" spans="1:15" x14ac:dyDescent="0.25">
      <c r="A71" s="96"/>
      <c r="B71" s="238"/>
      <c r="C71" s="93"/>
      <c r="D71" s="92"/>
      <c r="E71" s="270"/>
      <c r="F71" s="271"/>
      <c r="G71" s="272"/>
      <c r="H71" s="279"/>
      <c r="I71" s="280"/>
      <c r="J71" s="281"/>
      <c r="K71" s="270"/>
      <c r="L71" s="271"/>
      <c r="M71" s="272"/>
      <c r="N71" s="139"/>
      <c r="O71" s="281" t="str">
        <f t="shared" si="1"/>
        <v/>
      </c>
    </row>
    <row r="72" spans="1:15" x14ac:dyDescent="0.25">
      <c r="A72" s="96"/>
      <c r="B72" s="238"/>
      <c r="C72" s="93"/>
      <c r="D72" s="92"/>
      <c r="E72" s="270"/>
      <c r="F72" s="271"/>
      <c r="G72" s="272"/>
      <c r="H72" s="279"/>
      <c r="I72" s="280"/>
      <c r="J72" s="281"/>
      <c r="K72" s="270"/>
      <c r="L72" s="271"/>
      <c r="M72" s="272"/>
      <c r="N72" s="139"/>
      <c r="O72" s="281" t="str">
        <f t="shared" si="1"/>
        <v/>
      </c>
    </row>
    <row r="73" spans="1:15" x14ac:dyDescent="0.25">
      <c r="A73" s="96"/>
      <c r="B73" s="238"/>
      <c r="C73" s="93"/>
      <c r="D73" s="92"/>
      <c r="E73" s="270"/>
      <c r="F73" s="271"/>
      <c r="G73" s="272"/>
      <c r="H73" s="279"/>
      <c r="I73" s="280"/>
      <c r="J73" s="281"/>
      <c r="K73" s="270"/>
      <c r="L73" s="271"/>
      <c r="M73" s="272"/>
      <c r="N73" s="139"/>
      <c r="O73" s="281" t="str">
        <f t="shared" si="1"/>
        <v/>
      </c>
    </row>
    <row r="74" spans="1:15" x14ac:dyDescent="0.25">
      <c r="A74" s="96"/>
      <c r="B74" s="238"/>
      <c r="C74" s="93"/>
      <c r="D74" s="92"/>
      <c r="E74" s="270"/>
      <c r="F74" s="271"/>
      <c r="G74" s="272"/>
      <c r="H74" s="279"/>
      <c r="I74" s="280"/>
      <c r="J74" s="281"/>
      <c r="K74" s="270"/>
      <c r="L74" s="271"/>
      <c r="M74" s="272"/>
      <c r="N74" s="139"/>
      <c r="O74" s="281" t="str">
        <f t="shared" si="1"/>
        <v/>
      </c>
    </row>
    <row r="75" spans="1:15" x14ac:dyDescent="0.25">
      <c r="A75" s="96"/>
      <c r="B75" s="238"/>
      <c r="C75" s="93"/>
      <c r="D75" s="92"/>
      <c r="E75" s="270"/>
      <c r="F75" s="271"/>
      <c r="G75" s="272"/>
      <c r="H75" s="279"/>
      <c r="I75" s="280"/>
      <c r="J75" s="281"/>
      <c r="K75" s="270"/>
      <c r="L75" s="271"/>
      <c r="M75" s="272"/>
      <c r="N75" s="139"/>
      <c r="O75" s="281" t="str">
        <f t="shared" si="1"/>
        <v/>
      </c>
    </row>
    <row r="76" spans="1:15" x14ac:dyDescent="0.25">
      <c r="A76" s="96"/>
      <c r="B76" s="238"/>
      <c r="C76" s="93"/>
      <c r="D76" s="92"/>
      <c r="E76" s="270"/>
      <c r="F76" s="271"/>
      <c r="G76" s="272"/>
      <c r="H76" s="279"/>
      <c r="I76" s="280"/>
      <c r="J76" s="281"/>
      <c r="K76" s="270"/>
      <c r="L76" s="271"/>
      <c r="M76" s="272"/>
      <c r="N76" s="139"/>
      <c r="O76" s="281" t="str">
        <f t="shared" si="1"/>
        <v/>
      </c>
    </row>
    <row r="77" spans="1:15" x14ac:dyDescent="0.25">
      <c r="A77" s="96"/>
      <c r="B77" s="238"/>
      <c r="C77" s="93"/>
      <c r="D77" s="92"/>
      <c r="E77" s="270"/>
      <c r="F77" s="271"/>
      <c r="G77" s="272"/>
      <c r="H77" s="279"/>
      <c r="I77" s="280"/>
      <c r="J77" s="281"/>
      <c r="K77" s="270"/>
      <c r="L77" s="271"/>
      <c r="M77" s="272"/>
      <c r="N77" s="139"/>
      <c r="O77" s="281" t="str">
        <f t="shared" si="1"/>
        <v/>
      </c>
    </row>
    <row r="78" spans="1:15" x14ac:dyDescent="0.25">
      <c r="A78" s="96"/>
      <c r="B78" s="238"/>
      <c r="C78" s="93"/>
      <c r="D78" s="92"/>
      <c r="E78" s="270"/>
      <c r="F78" s="271"/>
      <c r="G78" s="272"/>
      <c r="H78" s="279"/>
      <c r="I78" s="280"/>
      <c r="J78" s="281"/>
      <c r="K78" s="270"/>
      <c r="L78" s="271"/>
      <c r="M78" s="272"/>
      <c r="N78" s="139"/>
      <c r="O78" s="281" t="str">
        <f t="shared" si="1"/>
        <v/>
      </c>
    </row>
    <row r="79" spans="1:15" x14ac:dyDescent="0.25">
      <c r="A79" s="96"/>
      <c r="B79" s="238"/>
      <c r="C79" s="93"/>
      <c r="D79" s="92"/>
      <c r="E79" s="270"/>
      <c r="F79" s="271"/>
      <c r="G79" s="272"/>
      <c r="H79" s="279"/>
      <c r="I79" s="280"/>
      <c r="J79" s="281"/>
      <c r="K79" s="270"/>
      <c r="L79" s="271"/>
      <c r="M79" s="272"/>
      <c r="N79" s="139"/>
      <c r="O79" s="281" t="str">
        <f t="shared" si="1"/>
        <v/>
      </c>
    </row>
    <row r="80" spans="1:15" x14ac:dyDescent="0.25">
      <c r="A80" s="96"/>
      <c r="B80" s="238"/>
      <c r="C80" s="93"/>
      <c r="D80" s="92"/>
      <c r="E80" s="270"/>
      <c r="F80" s="271"/>
      <c r="G80" s="272"/>
      <c r="H80" s="279"/>
      <c r="I80" s="280"/>
      <c r="J80" s="281"/>
      <c r="K80" s="270"/>
      <c r="L80" s="271"/>
      <c r="M80" s="272"/>
      <c r="N80" s="139"/>
      <c r="O80" s="281" t="str">
        <f t="shared" si="1"/>
        <v/>
      </c>
    </row>
    <row r="81" spans="1:15" x14ac:dyDescent="0.25">
      <c r="A81" s="96"/>
      <c r="B81" s="238"/>
      <c r="C81" s="93"/>
      <c r="D81" s="92"/>
      <c r="E81" s="270"/>
      <c r="F81" s="271"/>
      <c r="G81" s="272"/>
      <c r="H81" s="279"/>
      <c r="I81" s="280"/>
      <c r="J81" s="281"/>
      <c r="K81" s="270"/>
      <c r="L81" s="271"/>
      <c r="M81" s="272"/>
      <c r="N81" s="139"/>
      <c r="O81" s="281" t="str">
        <f t="shared" si="1"/>
        <v/>
      </c>
    </row>
    <row r="82" spans="1:15" x14ac:dyDescent="0.25">
      <c r="A82" s="96"/>
      <c r="B82" s="238"/>
      <c r="C82" s="93"/>
      <c r="D82" s="92"/>
      <c r="E82" s="270"/>
      <c r="F82" s="271"/>
      <c r="G82" s="272"/>
      <c r="H82" s="279"/>
      <c r="I82" s="280"/>
      <c r="J82" s="281"/>
      <c r="K82" s="270"/>
      <c r="L82" s="271"/>
      <c r="M82" s="272"/>
      <c r="N82" s="139"/>
      <c r="O82" s="281" t="str">
        <f t="shared" ref="O82:O113" si="2">IF(A82="","",IF(OR(AND(K82&lt;&gt;"",H82&gt;K82),AND(L82&lt;&gt;"",I82&gt;L82),AND(M82&lt;&gt;"",J82&gt;M82)),"ja","nein"))</f>
        <v/>
      </c>
    </row>
    <row r="83" spans="1:15" x14ac:dyDescent="0.25">
      <c r="A83" s="96"/>
      <c r="B83" s="238"/>
      <c r="C83" s="93"/>
      <c r="D83" s="92"/>
      <c r="E83" s="270"/>
      <c r="F83" s="271"/>
      <c r="G83" s="272"/>
      <c r="H83" s="279"/>
      <c r="I83" s="280"/>
      <c r="J83" s="281"/>
      <c r="K83" s="270"/>
      <c r="L83" s="271"/>
      <c r="M83" s="272"/>
      <c r="N83" s="139"/>
      <c r="O83" s="281" t="str">
        <f t="shared" si="2"/>
        <v/>
      </c>
    </row>
    <row r="84" spans="1:15" x14ac:dyDescent="0.25">
      <c r="A84" s="96"/>
      <c r="B84" s="238"/>
      <c r="C84" s="93"/>
      <c r="D84" s="92"/>
      <c r="E84" s="270"/>
      <c r="F84" s="271"/>
      <c r="G84" s="272"/>
      <c r="H84" s="279"/>
      <c r="I84" s="280"/>
      <c r="J84" s="281"/>
      <c r="K84" s="270"/>
      <c r="L84" s="271"/>
      <c r="M84" s="272"/>
      <c r="N84" s="139"/>
      <c r="O84" s="281" t="str">
        <f t="shared" si="2"/>
        <v/>
      </c>
    </row>
    <row r="85" spans="1:15" x14ac:dyDescent="0.25">
      <c r="A85" s="96"/>
      <c r="B85" s="238"/>
      <c r="C85" s="93"/>
      <c r="D85" s="92"/>
      <c r="E85" s="270"/>
      <c r="F85" s="271"/>
      <c r="G85" s="272"/>
      <c r="H85" s="279"/>
      <c r="I85" s="280"/>
      <c r="J85" s="281"/>
      <c r="K85" s="270"/>
      <c r="L85" s="271"/>
      <c r="M85" s="272"/>
      <c r="N85" s="139"/>
      <c r="O85" s="281" t="str">
        <f t="shared" si="2"/>
        <v/>
      </c>
    </row>
    <row r="86" spans="1:15" x14ac:dyDescent="0.25">
      <c r="A86" s="96"/>
      <c r="B86" s="238"/>
      <c r="C86" s="93"/>
      <c r="D86" s="92"/>
      <c r="E86" s="270"/>
      <c r="F86" s="271"/>
      <c r="G86" s="272"/>
      <c r="H86" s="279"/>
      <c r="I86" s="280"/>
      <c r="J86" s="281"/>
      <c r="K86" s="270"/>
      <c r="L86" s="271"/>
      <c r="M86" s="272"/>
      <c r="N86" s="139"/>
      <c r="O86" s="281" t="str">
        <f t="shared" si="2"/>
        <v/>
      </c>
    </row>
    <row r="87" spans="1:15" x14ac:dyDescent="0.25">
      <c r="A87" s="96"/>
      <c r="B87" s="238"/>
      <c r="C87" s="93"/>
      <c r="D87" s="92"/>
      <c r="E87" s="270"/>
      <c r="F87" s="271"/>
      <c r="G87" s="272"/>
      <c r="H87" s="279"/>
      <c r="I87" s="280"/>
      <c r="J87" s="281"/>
      <c r="K87" s="270"/>
      <c r="L87" s="271"/>
      <c r="M87" s="272"/>
      <c r="N87" s="139"/>
      <c r="O87" s="281" t="str">
        <f t="shared" si="2"/>
        <v/>
      </c>
    </row>
    <row r="88" spans="1:15" x14ac:dyDescent="0.25">
      <c r="A88" s="96"/>
      <c r="B88" s="238"/>
      <c r="C88" s="93"/>
      <c r="D88" s="92"/>
      <c r="E88" s="270"/>
      <c r="F88" s="271"/>
      <c r="G88" s="272"/>
      <c r="H88" s="279"/>
      <c r="I88" s="280"/>
      <c r="J88" s="281"/>
      <c r="K88" s="270"/>
      <c r="L88" s="271"/>
      <c r="M88" s="272"/>
      <c r="N88" s="139"/>
      <c r="O88" s="281" t="str">
        <f t="shared" si="2"/>
        <v/>
      </c>
    </row>
    <row r="89" spans="1:15" x14ac:dyDescent="0.25">
      <c r="A89" s="96"/>
      <c r="B89" s="238"/>
      <c r="C89" s="93"/>
      <c r="D89" s="92"/>
      <c r="E89" s="270"/>
      <c r="F89" s="271"/>
      <c r="G89" s="272"/>
      <c r="H89" s="279"/>
      <c r="I89" s="280"/>
      <c r="J89" s="281"/>
      <c r="K89" s="270"/>
      <c r="L89" s="271"/>
      <c r="M89" s="272"/>
      <c r="N89" s="139"/>
      <c r="O89" s="281" t="str">
        <f t="shared" si="2"/>
        <v/>
      </c>
    </row>
    <row r="90" spans="1:15" x14ac:dyDescent="0.25">
      <c r="A90" s="96"/>
      <c r="B90" s="238"/>
      <c r="C90" s="93"/>
      <c r="D90" s="92"/>
      <c r="E90" s="270"/>
      <c r="F90" s="271"/>
      <c r="G90" s="272"/>
      <c r="H90" s="279"/>
      <c r="I90" s="280"/>
      <c r="J90" s="281"/>
      <c r="K90" s="270"/>
      <c r="L90" s="271"/>
      <c r="M90" s="272"/>
      <c r="N90" s="139"/>
      <c r="O90" s="281" t="str">
        <f t="shared" si="2"/>
        <v/>
      </c>
    </row>
    <row r="91" spans="1:15" x14ac:dyDescent="0.25">
      <c r="A91" s="96"/>
      <c r="B91" s="238"/>
      <c r="C91" s="93"/>
      <c r="D91" s="92"/>
      <c r="E91" s="270"/>
      <c r="F91" s="271"/>
      <c r="G91" s="272"/>
      <c r="H91" s="279"/>
      <c r="I91" s="280"/>
      <c r="J91" s="281"/>
      <c r="K91" s="270"/>
      <c r="L91" s="271"/>
      <c r="M91" s="272"/>
      <c r="N91" s="139"/>
      <c r="O91" s="281" t="str">
        <f t="shared" si="2"/>
        <v/>
      </c>
    </row>
    <row r="92" spans="1:15" x14ac:dyDescent="0.25">
      <c r="A92" s="96"/>
      <c r="B92" s="238"/>
      <c r="C92" s="93"/>
      <c r="D92" s="92"/>
      <c r="E92" s="270"/>
      <c r="F92" s="271"/>
      <c r="G92" s="272"/>
      <c r="H92" s="279"/>
      <c r="I92" s="280"/>
      <c r="J92" s="281"/>
      <c r="K92" s="270"/>
      <c r="L92" s="271"/>
      <c r="M92" s="272"/>
      <c r="N92" s="139"/>
      <c r="O92" s="281" t="str">
        <f t="shared" si="2"/>
        <v/>
      </c>
    </row>
    <row r="93" spans="1:15" x14ac:dyDescent="0.25">
      <c r="A93" s="96"/>
      <c r="B93" s="238"/>
      <c r="C93" s="93"/>
      <c r="D93" s="92"/>
      <c r="E93" s="270"/>
      <c r="F93" s="271"/>
      <c r="G93" s="272"/>
      <c r="H93" s="279"/>
      <c r="I93" s="280"/>
      <c r="J93" s="281"/>
      <c r="K93" s="270"/>
      <c r="L93" s="271"/>
      <c r="M93" s="272"/>
      <c r="N93" s="139"/>
      <c r="O93" s="281" t="str">
        <f t="shared" si="2"/>
        <v/>
      </c>
    </row>
    <row r="94" spans="1:15" x14ac:dyDescent="0.25">
      <c r="A94" s="96"/>
      <c r="B94" s="238"/>
      <c r="C94" s="93"/>
      <c r="D94" s="92"/>
      <c r="E94" s="270"/>
      <c r="F94" s="271"/>
      <c r="G94" s="272"/>
      <c r="H94" s="279"/>
      <c r="I94" s="280"/>
      <c r="J94" s="281"/>
      <c r="K94" s="270"/>
      <c r="L94" s="271"/>
      <c r="M94" s="272"/>
      <c r="N94" s="139"/>
      <c r="O94" s="281" t="str">
        <f t="shared" si="2"/>
        <v/>
      </c>
    </row>
    <row r="95" spans="1:15" x14ac:dyDescent="0.25">
      <c r="A95" s="96"/>
      <c r="B95" s="238"/>
      <c r="C95" s="93"/>
      <c r="D95" s="92"/>
      <c r="E95" s="270"/>
      <c r="F95" s="271"/>
      <c r="G95" s="272"/>
      <c r="H95" s="279"/>
      <c r="I95" s="280"/>
      <c r="J95" s="281"/>
      <c r="K95" s="270"/>
      <c r="L95" s="271"/>
      <c r="M95" s="272"/>
      <c r="N95" s="139"/>
      <c r="O95" s="281" t="str">
        <f t="shared" si="2"/>
        <v/>
      </c>
    </row>
    <row r="96" spans="1:15" x14ac:dyDescent="0.25">
      <c r="A96" s="96"/>
      <c r="B96" s="238"/>
      <c r="C96" s="93"/>
      <c r="D96" s="92"/>
      <c r="E96" s="270"/>
      <c r="F96" s="271"/>
      <c r="G96" s="272"/>
      <c r="H96" s="279"/>
      <c r="I96" s="280"/>
      <c r="J96" s="281"/>
      <c r="K96" s="270"/>
      <c r="L96" s="271"/>
      <c r="M96" s="272"/>
      <c r="N96" s="139"/>
      <c r="O96" s="281" t="str">
        <f t="shared" si="2"/>
        <v/>
      </c>
    </row>
    <row r="97" spans="1:15" x14ac:dyDescent="0.25">
      <c r="A97" s="96"/>
      <c r="B97" s="238"/>
      <c r="C97" s="93"/>
      <c r="D97" s="92"/>
      <c r="E97" s="270"/>
      <c r="F97" s="271"/>
      <c r="G97" s="272"/>
      <c r="H97" s="279"/>
      <c r="I97" s="280"/>
      <c r="J97" s="281"/>
      <c r="K97" s="270"/>
      <c r="L97" s="271"/>
      <c r="M97" s="272"/>
      <c r="N97" s="139"/>
      <c r="O97" s="281" t="str">
        <f t="shared" si="2"/>
        <v/>
      </c>
    </row>
    <row r="98" spans="1:15" x14ac:dyDescent="0.25">
      <c r="A98" s="96"/>
      <c r="B98" s="238"/>
      <c r="C98" s="93"/>
      <c r="D98" s="92"/>
      <c r="E98" s="270"/>
      <c r="F98" s="271"/>
      <c r="G98" s="272"/>
      <c r="H98" s="279"/>
      <c r="I98" s="280"/>
      <c r="J98" s="281"/>
      <c r="K98" s="270"/>
      <c r="L98" s="271"/>
      <c r="M98" s="272"/>
      <c r="N98" s="139"/>
      <c r="O98" s="281" t="str">
        <f t="shared" si="2"/>
        <v/>
      </c>
    </row>
    <row r="99" spans="1:15" x14ac:dyDescent="0.25">
      <c r="A99" s="96"/>
      <c r="B99" s="238"/>
      <c r="C99" s="93"/>
      <c r="D99" s="92"/>
      <c r="E99" s="270"/>
      <c r="F99" s="271"/>
      <c r="G99" s="272"/>
      <c r="H99" s="279"/>
      <c r="I99" s="280"/>
      <c r="J99" s="281"/>
      <c r="K99" s="270"/>
      <c r="L99" s="271"/>
      <c r="M99" s="272"/>
      <c r="N99" s="139"/>
      <c r="O99" s="281" t="str">
        <f t="shared" si="2"/>
        <v/>
      </c>
    </row>
    <row r="100" spans="1:15" x14ac:dyDescent="0.25">
      <c r="A100" s="96"/>
      <c r="B100" s="238"/>
      <c r="C100" s="93"/>
      <c r="D100" s="92" t="str">
        <f>IF(E100="","",VLOOKUP("Cal"&amp;MID(E100,3,2),Vertriebsinfos!#REF!,2,FALSE))</f>
        <v/>
      </c>
      <c r="E100" s="270"/>
      <c r="F100" s="271"/>
      <c r="G100" s="272"/>
      <c r="H100" s="279" t="str">
        <f>IF(E100="","",VLOOKUP("Cal"&amp;MID(E$2,3,2),Vertriebsinfos!$A$26:$C$29,IF($D100="Peak",3,2),FALSE))</f>
        <v/>
      </c>
      <c r="I100" s="280" t="str">
        <f>IF(F100="","",VLOOKUP("Cal"&amp;MID(F$2,3,2),Vertriebsinfos!$A$26:$C$29,IF($D100="Peak",3,2),FALSE))</f>
        <v/>
      </c>
      <c r="J100" s="281" t="str">
        <f>IF(G100="","",VLOOKUP("Cal"&amp;MID(G$2,3,2),Vertriebsinfos!$A$26:$C$29,IF($D100="Peak",3,2),FALSE))</f>
        <v/>
      </c>
      <c r="K100" s="270"/>
      <c r="L100" s="271"/>
      <c r="M100" s="272"/>
      <c r="N100" s="139"/>
      <c r="O100" s="281" t="str">
        <f t="shared" si="2"/>
        <v/>
      </c>
    </row>
    <row r="101" spans="1:15" x14ac:dyDescent="0.25">
      <c r="A101" s="96"/>
      <c r="B101" s="238"/>
      <c r="C101" s="93"/>
      <c r="D101" s="92" t="str">
        <f>IF(E101="","",VLOOKUP("Cal"&amp;MID(E101,3,2),Vertriebsinfos!#REF!,2,FALSE))</f>
        <v/>
      </c>
      <c r="E101" s="270"/>
      <c r="F101" s="271"/>
      <c r="G101" s="272"/>
      <c r="H101" s="279" t="str">
        <f>IF(E101="","",VLOOKUP("Cal"&amp;MID(E$2,3,2),Vertriebsinfos!$A$26:$C$29,IF($D101="Peak",3,2),FALSE))</f>
        <v/>
      </c>
      <c r="I101" s="280" t="str">
        <f>IF(F101="","",VLOOKUP("Cal"&amp;MID(F$2,3,2),Vertriebsinfos!$A$26:$C$29,IF($D101="Peak",3,2),FALSE))</f>
        <v/>
      </c>
      <c r="J101" s="281" t="str">
        <f>IF(G101="","",VLOOKUP("Cal"&amp;MID(G$2,3,2),Vertriebsinfos!$A$26:$C$29,IF($D101="Peak",3,2),FALSE))</f>
        <v/>
      </c>
      <c r="K101" s="270"/>
      <c r="L101" s="271"/>
      <c r="M101" s="272"/>
      <c r="N101" s="139"/>
      <c r="O101" s="281" t="str">
        <f t="shared" si="2"/>
        <v/>
      </c>
    </row>
    <row r="102" spans="1:15" x14ac:dyDescent="0.25">
      <c r="A102" s="96"/>
      <c r="B102" s="238"/>
      <c r="C102" s="93"/>
      <c r="D102" s="92" t="str">
        <f>IF(E102="","",VLOOKUP("Cal"&amp;MID(E102,3,2),Vertriebsinfos!#REF!,2,FALSE))</f>
        <v/>
      </c>
      <c r="E102" s="270"/>
      <c r="F102" s="271"/>
      <c r="G102" s="272"/>
      <c r="H102" s="279" t="str">
        <f>IF(E102="","",VLOOKUP("Cal"&amp;MID(E$2,3,2),Vertriebsinfos!$A$26:$C$29,IF($D102="Peak",3,2),FALSE))</f>
        <v/>
      </c>
      <c r="I102" s="280" t="str">
        <f>IF(F102="","",VLOOKUP("Cal"&amp;MID(F$2,3,2),Vertriebsinfos!$A$26:$C$29,IF($D102="Peak",3,2),FALSE))</f>
        <v/>
      </c>
      <c r="J102" s="281" t="str">
        <f>IF(G102="","",VLOOKUP("Cal"&amp;MID(G$2,3,2),Vertriebsinfos!$A$26:$C$29,IF($D102="Peak",3,2),FALSE))</f>
        <v/>
      </c>
      <c r="K102" s="270"/>
      <c r="L102" s="271"/>
      <c r="M102" s="272"/>
      <c r="N102" s="139"/>
      <c r="O102" s="281" t="str">
        <f t="shared" si="2"/>
        <v/>
      </c>
    </row>
    <row r="103" spans="1:15" x14ac:dyDescent="0.25">
      <c r="A103" s="96"/>
      <c r="B103" s="238"/>
      <c r="C103" s="93"/>
      <c r="D103" s="92" t="str">
        <f>IF(E103="","",VLOOKUP("Cal"&amp;MID(E103,3,2),Vertriebsinfos!#REF!,2,FALSE))</f>
        <v/>
      </c>
      <c r="E103" s="270"/>
      <c r="F103" s="271"/>
      <c r="G103" s="272"/>
      <c r="H103" s="279" t="str">
        <f>IF(E103="","",VLOOKUP("Cal"&amp;MID(E$2,3,2),Vertriebsinfos!$A$26:$C$29,IF($D103="Peak",3,2),FALSE))</f>
        <v/>
      </c>
      <c r="I103" s="280" t="str">
        <f>IF(F103="","",VLOOKUP("Cal"&amp;MID(F$2,3,2),Vertriebsinfos!$A$26:$C$29,IF($D103="Peak",3,2),FALSE))</f>
        <v/>
      </c>
      <c r="J103" s="281" t="str">
        <f>IF(G103="","",VLOOKUP("Cal"&amp;MID(G$2,3,2),Vertriebsinfos!$A$26:$C$29,IF($D103="Peak",3,2),FALSE))</f>
        <v/>
      </c>
      <c r="K103" s="270"/>
      <c r="L103" s="271"/>
      <c r="M103" s="272"/>
      <c r="N103" s="139"/>
      <c r="O103" s="281" t="str">
        <f t="shared" si="2"/>
        <v/>
      </c>
    </row>
    <row r="104" spans="1:15" x14ac:dyDescent="0.25">
      <c r="A104" s="96"/>
      <c r="B104" s="238"/>
      <c r="C104" s="93"/>
      <c r="D104" s="92" t="str">
        <f>IF(E104="","",VLOOKUP("Cal"&amp;MID(E104,3,2),Vertriebsinfos!#REF!,2,FALSE))</f>
        <v/>
      </c>
      <c r="E104" s="270"/>
      <c r="F104" s="271"/>
      <c r="G104" s="272"/>
      <c r="H104" s="279" t="str">
        <f>IF(E104="","",VLOOKUP("Cal"&amp;MID(E$2,3,2),Vertriebsinfos!$A$26:$C$29,IF($D104="Peak",3,2),FALSE))</f>
        <v/>
      </c>
      <c r="I104" s="280" t="str">
        <f>IF(F104="","",VLOOKUP("Cal"&amp;MID(F$2,3,2),Vertriebsinfos!$A$26:$C$29,IF($D104="Peak",3,2),FALSE))</f>
        <v/>
      </c>
      <c r="J104" s="281" t="str">
        <f>IF(G104="","",VLOOKUP("Cal"&amp;MID(G$2,3,2),Vertriebsinfos!$A$26:$C$29,IF($D104="Peak",3,2),FALSE))</f>
        <v/>
      </c>
      <c r="K104" s="270"/>
      <c r="L104" s="271"/>
      <c r="M104" s="272"/>
      <c r="N104" s="139"/>
      <c r="O104" s="281" t="str">
        <f t="shared" si="2"/>
        <v/>
      </c>
    </row>
    <row r="105" spans="1:15" x14ac:dyDescent="0.25">
      <c r="A105" s="96"/>
      <c r="B105" s="238"/>
      <c r="C105" s="93"/>
      <c r="D105" s="92" t="str">
        <f>IF(E105="","",VLOOKUP("Cal"&amp;MID(E105,3,2),Vertriebsinfos!#REF!,2,FALSE))</f>
        <v/>
      </c>
      <c r="E105" s="270"/>
      <c r="F105" s="271"/>
      <c r="G105" s="272"/>
      <c r="H105" s="279" t="str">
        <f>IF(E105="","",VLOOKUP("Cal"&amp;MID(E$2,3,2),Vertriebsinfos!$A$26:$C$29,IF($D105="Peak",3,2),FALSE))</f>
        <v/>
      </c>
      <c r="I105" s="280" t="str">
        <f>IF(F105="","",VLOOKUP("Cal"&amp;MID(F$2,3,2),Vertriebsinfos!$A$26:$C$29,IF($D105="Peak",3,2),FALSE))</f>
        <v/>
      </c>
      <c r="J105" s="281" t="str">
        <f>IF(G105="","",VLOOKUP("Cal"&amp;MID(G$2,3,2),Vertriebsinfos!$A$26:$C$29,IF($D105="Peak",3,2),FALSE))</f>
        <v/>
      </c>
      <c r="K105" s="270"/>
      <c r="L105" s="271"/>
      <c r="M105" s="272"/>
      <c r="N105" s="139"/>
      <c r="O105" s="281" t="str">
        <f t="shared" si="2"/>
        <v/>
      </c>
    </row>
    <row r="106" spans="1:15" x14ac:dyDescent="0.25">
      <c r="A106" s="96"/>
      <c r="B106" s="238"/>
      <c r="C106" s="93"/>
      <c r="D106" s="92" t="str">
        <f>IF(E106="","",VLOOKUP("Cal"&amp;MID(E106,3,2),Vertriebsinfos!#REF!,2,FALSE))</f>
        <v/>
      </c>
      <c r="E106" s="270"/>
      <c r="F106" s="271"/>
      <c r="G106" s="272"/>
      <c r="H106" s="279" t="str">
        <f>IF(E106="","",VLOOKUP("Cal"&amp;MID(E$2,3,2),Vertriebsinfos!$A$26:$C$29,IF($D106="Peak",3,2),FALSE))</f>
        <v/>
      </c>
      <c r="I106" s="280" t="str">
        <f>IF(F106="","",VLOOKUP("Cal"&amp;MID(F$2,3,2),Vertriebsinfos!$A$26:$C$29,IF($D106="Peak",3,2),FALSE))</f>
        <v/>
      </c>
      <c r="J106" s="281" t="str">
        <f>IF(G106="","",VLOOKUP("Cal"&amp;MID(G$2,3,2),Vertriebsinfos!$A$26:$C$29,IF($D106="Peak",3,2),FALSE))</f>
        <v/>
      </c>
      <c r="K106" s="270"/>
      <c r="L106" s="271"/>
      <c r="M106" s="272"/>
      <c r="N106" s="139"/>
      <c r="O106" s="281" t="str">
        <f t="shared" si="2"/>
        <v/>
      </c>
    </row>
    <row r="107" spans="1:15" x14ac:dyDescent="0.25">
      <c r="A107" s="96"/>
      <c r="B107" s="238"/>
      <c r="C107" s="93"/>
      <c r="D107" s="92" t="str">
        <f>IF(E107="","",VLOOKUP("Cal"&amp;MID(E107,3,2),Vertriebsinfos!#REF!,2,FALSE))</f>
        <v/>
      </c>
      <c r="E107" s="270"/>
      <c r="F107" s="271"/>
      <c r="G107" s="272"/>
      <c r="H107" s="279" t="str">
        <f>IF(E107="","",VLOOKUP("Cal"&amp;MID(E$2,3,2),Vertriebsinfos!$A$26:$C$29,IF($D107="Peak",3,2),FALSE))</f>
        <v/>
      </c>
      <c r="I107" s="280" t="str">
        <f>IF(F107="","",VLOOKUP("Cal"&amp;MID(F$2,3,2),Vertriebsinfos!$A$26:$C$29,IF($D107="Peak",3,2),FALSE))</f>
        <v/>
      </c>
      <c r="J107" s="281" t="str">
        <f>IF(G107="","",VLOOKUP("Cal"&amp;MID(G$2,3,2),Vertriebsinfos!$A$26:$C$29,IF($D107="Peak",3,2),FALSE))</f>
        <v/>
      </c>
      <c r="K107" s="270"/>
      <c r="L107" s="271"/>
      <c r="M107" s="272"/>
      <c r="N107" s="139"/>
      <c r="O107" s="281" t="str">
        <f t="shared" si="2"/>
        <v/>
      </c>
    </row>
    <row r="108" spans="1:15" x14ac:dyDescent="0.25">
      <c r="A108" s="96"/>
      <c r="B108" s="238"/>
      <c r="C108" s="93"/>
      <c r="D108" s="92" t="str">
        <f>IF(E108="","",VLOOKUP("Cal"&amp;MID(E108,3,2),Vertriebsinfos!#REF!,2,FALSE))</f>
        <v/>
      </c>
      <c r="E108" s="270"/>
      <c r="F108" s="271"/>
      <c r="G108" s="272"/>
      <c r="H108" s="279" t="str">
        <f>IF(E108="","",VLOOKUP("Cal"&amp;MID(E$2,3,2),Vertriebsinfos!$A$26:$C$29,IF($D108="Peak",3,2),FALSE))</f>
        <v/>
      </c>
      <c r="I108" s="280" t="str">
        <f>IF(F108="","",VLOOKUP("Cal"&amp;MID(F$2,3,2),Vertriebsinfos!$A$26:$C$29,IF($D108="Peak",3,2),FALSE))</f>
        <v/>
      </c>
      <c r="J108" s="281" t="str">
        <f>IF(G108="","",VLOOKUP("Cal"&amp;MID(G$2,3,2),Vertriebsinfos!$A$26:$C$29,IF($D108="Peak",3,2),FALSE))</f>
        <v/>
      </c>
      <c r="K108" s="270"/>
      <c r="L108" s="271"/>
      <c r="M108" s="272"/>
      <c r="N108" s="139"/>
      <c r="O108" s="281" t="str">
        <f t="shared" si="2"/>
        <v/>
      </c>
    </row>
    <row r="109" spans="1:15" x14ac:dyDescent="0.25">
      <c r="A109" s="96"/>
      <c r="B109" s="238"/>
      <c r="C109" s="93"/>
      <c r="D109" s="92" t="str">
        <f>IF(E109="","",VLOOKUP("Cal"&amp;MID(E109,3,2),Vertriebsinfos!#REF!,2,FALSE))</f>
        <v/>
      </c>
      <c r="E109" s="270"/>
      <c r="F109" s="271"/>
      <c r="G109" s="272"/>
      <c r="H109" s="279" t="str">
        <f>IF(E109="","",VLOOKUP("Cal"&amp;MID(E$2,3,2),Vertriebsinfos!$A$26:$C$29,IF($D109="Peak",3,2),FALSE))</f>
        <v/>
      </c>
      <c r="I109" s="280" t="str">
        <f>IF(F109="","",VLOOKUP("Cal"&amp;MID(F$2,3,2),Vertriebsinfos!$A$26:$C$29,IF($D109="Peak",3,2),FALSE))</f>
        <v/>
      </c>
      <c r="J109" s="281" t="str">
        <f>IF(G109="","",VLOOKUP("Cal"&amp;MID(G$2,3,2),Vertriebsinfos!$A$26:$C$29,IF($D109="Peak",3,2),FALSE))</f>
        <v/>
      </c>
      <c r="K109" s="270"/>
      <c r="L109" s="271"/>
      <c r="M109" s="272"/>
      <c r="N109" s="139"/>
      <c r="O109" s="281" t="str">
        <f t="shared" si="2"/>
        <v/>
      </c>
    </row>
    <row r="110" spans="1:15" x14ac:dyDescent="0.25">
      <c r="A110" s="96"/>
      <c r="B110" s="238"/>
      <c r="C110" s="93"/>
      <c r="D110" s="92" t="str">
        <f>IF(E110="","",VLOOKUP("Cal"&amp;MID(E110,3,2),Vertriebsinfos!#REF!,2,FALSE))</f>
        <v/>
      </c>
      <c r="E110" s="270"/>
      <c r="F110" s="271"/>
      <c r="G110" s="272"/>
      <c r="H110" s="279" t="str">
        <f>IF(E110="","",VLOOKUP("Cal"&amp;MID(E$2,3,2),Vertriebsinfos!$A$26:$C$29,IF($D110="Peak",3,2),FALSE))</f>
        <v/>
      </c>
      <c r="I110" s="280" t="str">
        <f>IF(F110="","",VLOOKUP("Cal"&amp;MID(F$2,3,2),Vertriebsinfos!$A$26:$C$29,IF($D110="Peak",3,2),FALSE))</f>
        <v/>
      </c>
      <c r="J110" s="281" t="str">
        <f>IF(G110="","",VLOOKUP("Cal"&amp;MID(G$2,3,2),Vertriebsinfos!$A$26:$C$29,IF($D110="Peak",3,2),FALSE))</f>
        <v/>
      </c>
      <c r="K110" s="270"/>
      <c r="L110" s="271"/>
      <c r="M110" s="272"/>
      <c r="N110" s="139"/>
      <c r="O110" s="281" t="str">
        <f t="shared" si="2"/>
        <v/>
      </c>
    </row>
    <row r="111" spans="1:15" x14ac:dyDescent="0.25">
      <c r="A111" s="96"/>
      <c r="B111" s="238"/>
      <c r="C111" s="93"/>
      <c r="D111" s="92" t="str">
        <f>IF(E111="","",VLOOKUP("Cal"&amp;MID(E111,3,2),Vertriebsinfos!#REF!,2,FALSE))</f>
        <v/>
      </c>
      <c r="E111" s="270"/>
      <c r="F111" s="271"/>
      <c r="G111" s="272"/>
      <c r="H111" s="279" t="str">
        <f>IF(E111="","",VLOOKUP("Cal"&amp;MID(E$2,3,2),Vertriebsinfos!$A$26:$C$29,IF($D111="Peak",3,2),FALSE))</f>
        <v/>
      </c>
      <c r="I111" s="280" t="str">
        <f>IF(F111="","",VLOOKUP("Cal"&amp;MID(F$2,3,2),Vertriebsinfos!$A$26:$C$29,IF($D111="Peak",3,2),FALSE))</f>
        <v/>
      </c>
      <c r="J111" s="281" t="str">
        <f>IF(G111="","",VLOOKUP("Cal"&amp;MID(G$2,3,2),Vertriebsinfos!$A$26:$C$29,IF($D111="Peak",3,2),FALSE))</f>
        <v/>
      </c>
      <c r="K111" s="270"/>
      <c r="L111" s="271"/>
      <c r="M111" s="272"/>
      <c r="N111" s="139"/>
      <c r="O111" s="281" t="str">
        <f t="shared" si="2"/>
        <v/>
      </c>
    </row>
    <row r="112" spans="1:15" x14ac:dyDescent="0.25">
      <c r="A112" s="96"/>
      <c r="B112" s="238"/>
      <c r="C112" s="93"/>
      <c r="D112" s="92" t="str">
        <f>IF(E112="","",VLOOKUP("Cal"&amp;MID(E112,3,2),Vertriebsinfos!#REF!,2,FALSE))</f>
        <v/>
      </c>
      <c r="E112" s="270"/>
      <c r="F112" s="271"/>
      <c r="G112" s="272"/>
      <c r="H112" s="279" t="str">
        <f>IF(E112="","",VLOOKUP("Cal"&amp;MID(E$2,3,2),Vertriebsinfos!$A$26:$C$29,IF($D112="Peak",3,2),FALSE))</f>
        <v/>
      </c>
      <c r="I112" s="280" t="str">
        <f>IF(F112="","",VLOOKUP("Cal"&amp;MID(F$2,3,2),Vertriebsinfos!$A$26:$C$29,IF($D112="Peak",3,2),FALSE))</f>
        <v/>
      </c>
      <c r="J112" s="281" t="str">
        <f>IF(G112="","",VLOOKUP("Cal"&amp;MID(G$2,3,2),Vertriebsinfos!$A$26:$C$29,IF($D112="Peak",3,2),FALSE))</f>
        <v/>
      </c>
      <c r="K112" s="270"/>
      <c r="L112" s="271"/>
      <c r="M112" s="272"/>
      <c r="N112" s="139"/>
      <c r="O112" s="281" t="str">
        <f t="shared" si="2"/>
        <v/>
      </c>
    </row>
    <row r="113" spans="1:15" x14ac:dyDescent="0.25">
      <c r="A113" s="96"/>
      <c r="B113" s="238"/>
      <c r="C113" s="93"/>
      <c r="D113" s="92" t="str">
        <f>IF(E113="","",VLOOKUP("Cal"&amp;MID(E113,3,2),Vertriebsinfos!#REF!,2,FALSE))</f>
        <v/>
      </c>
      <c r="E113" s="270"/>
      <c r="F113" s="271"/>
      <c r="G113" s="272"/>
      <c r="H113" s="279" t="str">
        <f>IF(E113="","",VLOOKUP("Cal"&amp;MID(E$2,3,2),Vertriebsinfos!$A$26:$C$29,IF($D113="Peak",3,2),FALSE))</f>
        <v/>
      </c>
      <c r="I113" s="280" t="str">
        <f>IF(F113="","",VLOOKUP("Cal"&amp;MID(F$2,3,2),Vertriebsinfos!$A$26:$C$29,IF($D113="Peak",3,2),FALSE))</f>
        <v/>
      </c>
      <c r="J113" s="281" t="str">
        <f>IF(G113="","",VLOOKUP("Cal"&amp;MID(G$2,3,2),Vertriebsinfos!$A$26:$C$29,IF($D113="Peak",3,2),FALSE))</f>
        <v/>
      </c>
      <c r="K113" s="270"/>
      <c r="L113" s="271"/>
      <c r="M113" s="272"/>
      <c r="N113" s="139"/>
      <c r="O113" s="281" t="str">
        <f t="shared" si="2"/>
        <v/>
      </c>
    </row>
    <row r="114" spans="1:15" x14ac:dyDescent="0.25">
      <c r="A114" s="96"/>
      <c r="B114" s="238"/>
      <c r="C114" s="93"/>
      <c r="D114" s="92" t="str">
        <f>IF(E114="","",VLOOKUP("Cal"&amp;MID(E114,3,2),Vertriebsinfos!#REF!,2,FALSE))</f>
        <v/>
      </c>
      <c r="E114" s="270"/>
      <c r="F114" s="271"/>
      <c r="G114" s="272"/>
      <c r="H114" s="279" t="str">
        <f>IF(E114="","",VLOOKUP("Cal"&amp;MID(E$2,3,2),Vertriebsinfos!$A$26:$C$29,IF($D114="Peak",3,2),FALSE))</f>
        <v/>
      </c>
      <c r="I114" s="280" t="str">
        <f>IF(F114="","",VLOOKUP("Cal"&amp;MID(F$2,3,2),Vertriebsinfos!$A$26:$C$29,IF($D114="Peak",3,2),FALSE))</f>
        <v/>
      </c>
      <c r="J114" s="281" t="str">
        <f>IF(G114="","",VLOOKUP("Cal"&amp;MID(G$2,3,2),Vertriebsinfos!$A$26:$C$29,IF($D114="Peak",3,2),FALSE))</f>
        <v/>
      </c>
      <c r="K114" s="270"/>
      <c r="L114" s="271"/>
      <c r="M114" s="272"/>
      <c r="N114" s="139"/>
      <c r="O114" s="281" t="str">
        <f t="shared" ref="O114" si="3">IF(A114="","",IF(OR(AND(K114&lt;&gt;"",H114&gt;K114),AND(L114&lt;&gt;"",I114&gt;L114),AND(M114&lt;&gt;"",J114&gt;M114)),"ja","nein"))</f>
        <v/>
      </c>
    </row>
    <row r="115" spans="1:15" x14ac:dyDescent="0.25">
      <c r="A115" s="96"/>
      <c r="B115" s="238"/>
      <c r="C115" s="93"/>
      <c r="D115" s="92" t="str">
        <f>IF(E115="","",VLOOKUP("Cal"&amp;MID(E115,3,2),Vertriebsinfos!#REF!,2,FALSE))</f>
        <v/>
      </c>
      <c r="E115" s="270"/>
      <c r="F115" s="271"/>
      <c r="G115" s="272"/>
      <c r="H115" s="279" t="str">
        <f>IF(E115="","",VLOOKUP("Cal"&amp;MID(E$2,3,2),Vertriebsinfos!$A$26:$C$29,IF($D115="Peak",3,2),FALSE))</f>
        <v/>
      </c>
      <c r="I115" s="280" t="str">
        <f>IF(F115="","",VLOOKUP("Cal"&amp;MID(F$2,3,2),Vertriebsinfos!$A$26:$C$29,IF($D115="Peak",3,2),FALSE))</f>
        <v/>
      </c>
      <c r="J115" s="281" t="str">
        <f>IF(G115="","",VLOOKUP("Cal"&amp;MID(G$2,3,2),Vertriebsinfos!$A$26:$C$29,IF($D115="Peak",3,2),FALSE))</f>
        <v/>
      </c>
      <c r="K115" s="270"/>
      <c r="L115" s="271"/>
      <c r="M115" s="272"/>
      <c r="N115" s="139"/>
      <c r="O115" s="281" t="str">
        <f t="shared" ref="O115:O146" si="4">IF(A115="","",IF(OR(AND(K115&lt;&gt;"",H115&gt;K115),AND(L115&lt;&gt;"",I115&gt;L115),AND(M115&lt;&gt;"",J115&gt;M115)),"ja","nein"))</f>
        <v/>
      </c>
    </row>
    <row r="116" spans="1:15" x14ac:dyDescent="0.25">
      <c r="A116" s="96"/>
      <c r="B116" s="238"/>
      <c r="C116" s="93"/>
      <c r="D116" s="92" t="str">
        <f>IF(E116="","",VLOOKUP("Cal"&amp;MID(E116,3,2),Vertriebsinfos!#REF!,2,FALSE))</f>
        <v/>
      </c>
      <c r="E116" s="270"/>
      <c r="F116" s="271"/>
      <c r="G116" s="272"/>
      <c r="H116" s="279" t="str">
        <f>IF(E116="","",VLOOKUP("Cal"&amp;MID(E$2,3,2),Vertriebsinfos!$A$26:$C$29,IF($D116="Peak",3,2),FALSE))</f>
        <v/>
      </c>
      <c r="I116" s="280" t="str">
        <f>IF(F116="","",VLOOKUP("Cal"&amp;MID(F$2,3,2),Vertriebsinfos!$A$26:$C$29,IF($D116="Peak",3,2),FALSE))</f>
        <v/>
      </c>
      <c r="J116" s="281" t="str">
        <f>IF(G116="","",VLOOKUP("Cal"&amp;MID(G$2,3,2),Vertriebsinfos!$A$26:$C$29,IF($D116="Peak",3,2),FALSE))</f>
        <v/>
      </c>
      <c r="K116" s="270"/>
      <c r="L116" s="271"/>
      <c r="M116" s="272"/>
      <c r="N116" s="139"/>
      <c r="O116" s="281" t="str">
        <f t="shared" si="4"/>
        <v/>
      </c>
    </row>
    <row r="117" spans="1:15" x14ac:dyDescent="0.25">
      <c r="A117" s="96"/>
      <c r="B117" s="238"/>
      <c r="C117" s="93"/>
      <c r="D117" s="92" t="str">
        <f>IF(E117="","",VLOOKUP("Cal"&amp;MID(E117,3,2),Vertriebsinfos!#REF!,2,FALSE))</f>
        <v/>
      </c>
      <c r="E117" s="270"/>
      <c r="F117" s="271"/>
      <c r="G117" s="272"/>
      <c r="H117" s="279" t="str">
        <f>IF(E117="","",VLOOKUP("Cal"&amp;MID(E$2,3,2),Vertriebsinfos!$A$26:$C$29,IF($D117="Peak",3,2),FALSE))</f>
        <v/>
      </c>
      <c r="I117" s="280" t="str">
        <f>IF(F117="","",VLOOKUP("Cal"&amp;MID(F$2,3,2),Vertriebsinfos!$A$26:$C$29,IF($D117="Peak",3,2),FALSE))</f>
        <v/>
      </c>
      <c r="J117" s="281" t="str">
        <f>IF(G117="","",VLOOKUP("Cal"&amp;MID(G$2,3,2),Vertriebsinfos!$A$26:$C$29,IF($D117="Peak",3,2),FALSE))</f>
        <v/>
      </c>
      <c r="K117" s="270"/>
      <c r="L117" s="271"/>
      <c r="M117" s="272"/>
      <c r="N117" s="139"/>
      <c r="O117" s="281" t="str">
        <f t="shared" si="4"/>
        <v/>
      </c>
    </row>
    <row r="118" spans="1:15" x14ac:dyDescent="0.25">
      <c r="A118" s="96"/>
      <c r="B118" s="238"/>
      <c r="C118" s="93"/>
      <c r="D118" s="92" t="str">
        <f>IF(E118="","",VLOOKUP("Cal"&amp;MID(E118,3,2),Vertriebsinfos!#REF!,2,FALSE))</f>
        <v/>
      </c>
      <c r="E118" s="270"/>
      <c r="F118" s="271"/>
      <c r="G118" s="272"/>
      <c r="H118" s="279" t="str">
        <f>IF(E118="","",VLOOKUP("Cal"&amp;MID(E$2,3,2),Vertriebsinfos!$A$26:$C$29,IF($D118="Peak",3,2),FALSE))</f>
        <v/>
      </c>
      <c r="I118" s="280" t="str">
        <f>IF(F118="","",VLOOKUP("Cal"&amp;MID(F$2,3,2),Vertriebsinfos!$A$26:$C$29,IF($D118="Peak",3,2),FALSE))</f>
        <v/>
      </c>
      <c r="J118" s="281" t="str">
        <f>IF(G118="","",VLOOKUP("Cal"&amp;MID(G$2,3,2),Vertriebsinfos!$A$26:$C$29,IF($D118="Peak",3,2),FALSE))</f>
        <v/>
      </c>
      <c r="K118" s="270"/>
      <c r="L118" s="271"/>
      <c r="M118" s="272"/>
      <c r="N118" s="139"/>
      <c r="O118" s="281" t="str">
        <f t="shared" si="4"/>
        <v/>
      </c>
    </row>
    <row r="119" spans="1:15" x14ac:dyDescent="0.25">
      <c r="A119" s="96"/>
      <c r="B119" s="238"/>
      <c r="C119" s="93"/>
      <c r="D119" s="92" t="str">
        <f>IF(E119="","",VLOOKUP("Cal"&amp;MID(E119,3,2),Vertriebsinfos!#REF!,2,FALSE))</f>
        <v/>
      </c>
      <c r="E119" s="270"/>
      <c r="F119" s="271"/>
      <c r="G119" s="272"/>
      <c r="H119" s="279" t="str">
        <f>IF(E119="","",VLOOKUP("Cal"&amp;MID(E$2,3,2),Vertriebsinfos!$A$26:$C$29,IF($D119="Peak",3,2),FALSE))</f>
        <v/>
      </c>
      <c r="I119" s="280" t="str">
        <f>IF(F119="","",VLOOKUP("Cal"&amp;MID(F$2,3,2),Vertriebsinfos!$A$26:$C$29,IF($D119="Peak",3,2),FALSE))</f>
        <v/>
      </c>
      <c r="J119" s="281" t="str">
        <f>IF(G119="","",VLOOKUP("Cal"&amp;MID(G$2,3,2),Vertriebsinfos!$A$26:$C$29,IF($D119="Peak",3,2),FALSE))</f>
        <v/>
      </c>
      <c r="K119" s="270"/>
      <c r="L119" s="271"/>
      <c r="M119" s="272"/>
      <c r="N119" s="139"/>
      <c r="O119" s="281" t="str">
        <f t="shared" si="4"/>
        <v/>
      </c>
    </row>
    <row r="120" spans="1:15" x14ac:dyDescent="0.25">
      <c r="A120" s="96"/>
      <c r="B120" s="238"/>
      <c r="C120" s="93"/>
      <c r="D120" s="92" t="str">
        <f>IF(E120="","",VLOOKUP("Cal"&amp;MID(E120,3,2),Vertriebsinfos!#REF!,2,FALSE))</f>
        <v/>
      </c>
      <c r="E120" s="270"/>
      <c r="F120" s="271"/>
      <c r="G120" s="272"/>
      <c r="H120" s="279" t="str">
        <f>IF(E120="","",VLOOKUP("Cal"&amp;MID(E$2,3,2),Vertriebsinfos!$A$26:$C$29,IF($D120="Peak",3,2),FALSE))</f>
        <v/>
      </c>
      <c r="I120" s="280" t="str">
        <f>IF(F120="","",VLOOKUP("Cal"&amp;MID(F$2,3,2),Vertriebsinfos!$A$26:$C$29,IF($D120="Peak",3,2),FALSE))</f>
        <v/>
      </c>
      <c r="J120" s="281" t="str">
        <f>IF(G120="","",VLOOKUP("Cal"&amp;MID(G$2,3,2),Vertriebsinfos!$A$26:$C$29,IF($D120="Peak",3,2),FALSE))</f>
        <v/>
      </c>
      <c r="K120" s="270"/>
      <c r="L120" s="271"/>
      <c r="M120" s="272"/>
      <c r="N120" s="139"/>
      <c r="O120" s="281" t="str">
        <f t="shared" si="4"/>
        <v/>
      </c>
    </row>
    <row r="121" spans="1:15" x14ac:dyDescent="0.25">
      <c r="A121" s="96"/>
      <c r="B121" s="238"/>
      <c r="C121" s="93"/>
      <c r="D121" s="92" t="str">
        <f>IF(E121="","",VLOOKUP("Cal"&amp;MID(E121,3,2),Vertriebsinfos!#REF!,2,FALSE))</f>
        <v/>
      </c>
      <c r="E121" s="270"/>
      <c r="F121" s="271"/>
      <c r="G121" s="272"/>
      <c r="H121" s="279" t="str">
        <f>IF(E121="","",VLOOKUP("Cal"&amp;MID(E$2,3,2),Vertriebsinfos!$A$26:$C$29,IF($D121="Peak",3,2),FALSE))</f>
        <v/>
      </c>
      <c r="I121" s="280" t="str">
        <f>IF(F121="","",VLOOKUP("Cal"&amp;MID(F$2,3,2),Vertriebsinfos!$A$26:$C$29,IF($D121="Peak",3,2),FALSE))</f>
        <v/>
      </c>
      <c r="J121" s="281" t="str">
        <f>IF(G121="","",VLOOKUP("Cal"&amp;MID(G$2,3,2),Vertriebsinfos!$A$26:$C$29,IF($D121="Peak",3,2),FALSE))</f>
        <v/>
      </c>
      <c r="K121" s="270"/>
      <c r="L121" s="271"/>
      <c r="M121" s="272"/>
      <c r="N121" s="139"/>
      <c r="O121" s="281" t="str">
        <f t="shared" si="4"/>
        <v/>
      </c>
    </row>
    <row r="122" spans="1:15" x14ac:dyDescent="0.25">
      <c r="A122" s="96"/>
      <c r="B122" s="238"/>
      <c r="C122" s="93"/>
      <c r="D122" s="92" t="str">
        <f>IF(E122="","",VLOOKUP("Cal"&amp;MID(E122,3,2),Vertriebsinfos!#REF!,2,FALSE))</f>
        <v/>
      </c>
      <c r="E122" s="270"/>
      <c r="F122" s="271"/>
      <c r="G122" s="272"/>
      <c r="H122" s="279" t="str">
        <f>IF(E122="","",VLOOKUP("Cal"&amp;MID(E$2,3,2),Vertriebsinfos!$A$26:$C$29,IF($D122="Peak",3,2),FALSE))</f>
        <v/>
      </c>
      <c r="I122" s="280" t="str">
        <f>IF(F122="","",VLOOKUP("Cal"&amp;MID(F$2,3,2),Vertriebsinfos!$A$26:$C$29,IF($D122="Peak",3,2),FALSE))</f>
        <v/>
      </c>
      <c r="J122" s="281" t="str">
        <f>IF(G122="","",VLOOKUP("Cal"&amp;MID(G$2,3,2),Vertriebsinfos!$A$26:$C$29,IF($D122="Peak",3,2),FALSE))</f>
        <v/>
      </c>
      <c r="K122" s="270"/>
      <c r="L122" s="271"/>
      <c r="M122" s="272"/>
      <c r="N122" s="139"/>
      <c r="O122" s="281" t="str">
        <f t="shared" si="4"/>
        <v/>
      </c>
    </row>
    <row r="123" spans="1:15" x14ac:dyDescent="0.25">
      <c r="A123" s="96"/>
      <c r="B123" s="238"/>
      <c r="C123" s="93"/>
      <c r="D123" s="92" t="str">
        <f>IF(E123="","",VLOOKUP("Cal"&amp;MID(E123,3,2),Vertriebsinfos!#REF!,2,FALSE))</f>
        <v/>
      </c>
      <c r="E123" s="270"/>
      <c r="F123" s="271"/>
      <c r="G123" s="272"/>
      <c r="H123" s="279" t="str">
        <f>IF(E123="","",VLOOKUP("Cal"&amp;MID(E$2,3,2),Vertriebsinfos!$A$26:$C$29,IF($D123="Peak",3,2),FALSE))</f>
        <v/>
      </c>
      <c r="I123" s="280" t="str">
        <f>IF(F123="","",VLOOKUP("Cal"&amp;MID(F$2,3,2),Vertriebsinfos!$A$26:$C$29,IF($D123="Peak",3,2),FALSE))</f>
        <v/>
      </c>
      <c r="J123" s="281" t="str">
        <f>IF(G123="","",VLOOKUP("Cal"&amp;MID(G$2,3,2),Vertriebsinfos!$A$26:$C$29,IF($D123="Peak",3,2),FALSE))</f>
        <v/>
      </c>
      <c r="K123" s="270"/>
      <c r="L123" s="271"/>
      <c r="M123" s="272"/>
      <c r="N123" s="139"/>
      <c r="O123" s="281" t="str">
        <f t="shared" si="4"/>
        <v/>
      </c>
    </row>
    <row r="124" spans="1:15" x14ac:dyDescent="0.25">
      <c r="A124" s="96"/>
      <c r="B124" s="238"/>
      <c r="C124" s="93"/>
      <c r="D124" s="92" t="str">
        <f>IF(E124="","",VLOOKUP("Cal"&amp;MID(E124,3,2),Vertriebsinfos!#REF!,2,FALSE))</f>
        <v/>
      </c>
      <c r="E124" s="270"/>
      <c r="F124" s="271"/>
      <c r="G124" s="272"/>
      <c r="H124" s="279" t="str">
        <f>IF(E124="","",VLOOKUP("Cal"&amp;MID(E$2,3,2),Vertriebsinfos!$A$26:$C$29,IF($D124="Peak",3,2),FALSE))</f>
        <v/>
      </c>
      <c r="I124" s="280" t="str">
        <f>IF(F124="","",VLOOKUP("Cal"&amp;MID(F$2,3,2),Vertriebsinfos!$A$26:$C$29,IF($D124="Peak",3,2),FALSE))</f>
        <v/>
      </c>
      <c r="J124" s="281" t="str">
        <f>IF(G124="","",VLOOKUP("Cal"&amp;MID(G$2,3,2),Vertriebsinfos!$A$26:$C$29,IF($D124="Peak",3,2),FALSE))</f>
        <v/>
      </c>
      <c r="K124" s="270"/>
      <c r="L124" s="271"/>
      <c r="M124" s="272"/>
      <c r="N124" s="139"/>
      <c r="O124" s="281" t="str">
        <f t="shared" si="4"/>
        <v/>
      </c>
    </row>
    <row r="125" spans="1:15" x14ac:dyDescent="0.25">
      <c r="A125" s="96"/>
      <c r="B125" s="238"/>
      <c r="C125" s="93"/>
      <c r="D125" s="92" t="str">
        <f>IF(E125="","",VLOOKUP("Cal"&amp;MID(E125,3,2),Vertriebsinfos!#REF!,2,FALSE))</f>
        <v/>
      </c>
      <c r="E125" s="270"/>
      <c r="F125" s="271"/>
      <c r="G125" s="272"/>
      <c r="H125" s="279" t="str">
        <f>IF(E125="","",VLOOKUP("Cal"&amp;MID(E$2,3,2),Vertriebsinfos!$A$26:$C$29,IF($D125="Peak",3,2),FALSE))</f>
        <v/>
      </c>
      <c r="I125" s="280" t="str">
        <f>IF(F125="","",VLOOKUP("Cal"&amp;MID(F$2,3,2),Vertriebsinfos!$A$26:$C$29,IF($D125="Peak",3,2),FALSE))</f>
        <v/>
      </c>
      <c r="J125" s="281" t="str">
        <f>IF(G125="","",VLOOKUP("Cal"&amp;MID(G$2,3,2),Vertriebsinfos!$A$26:$C$29,IF($D125="Peak",3,2),FALSE))</f>
        <v/>
      </c>
      <c r="K125" s="270"/>
      <c r="L125" s="271"/>
      <c r="M125" s="272"/>
      <c r="N125" s="139"/>
      <c r="O125" s="281" t="str">
        <f t="shared" si="4"/>
        <v/>
      </c>
    </row>
    <row r="126" spans="1:15" x14ac:dyDescent="0.25">
      <c r="A126" s="96"/>
      <c r="B126" s="238"/>
      <c r="C126" s="93"/>
      <c r="D126" s="92" t="str">
        <f>IF(E126="","",VLOOKUP("Cal"&amp;MID(E126,3,2),Vertriebsinfos!#REF!,2,FALSE))</f>
        <v/>
      </c>
      <c r="E126" s="270"/>
      <c r="F126" s="271"/>
      <c r="G126" s="272"/>
      <c r="H126" s="279" t="str">
        <f>IF(E126="","",VLOOKUP("Cal"&amp;MID(E$2,3,2),Vertriebsinfos!$A$26:$C$29,IF($D126="Peak",3,2),FALSE))</f>
        <v/>
      </c>
      <c r="I126" s="280" t="str">
        <f>IF(F126="","",VLOOKUP("Cal"&amp;MID(F$2,3,2),Vertriebsinfos!$A$26:$C$29,IF($D126="Peak",3,2),FALSE))</f>
        <v/>
      </c>
      <c r="J126" s="281" t="str">
        <f>IF(G126="","",VLOOKUP("Cal"&amp;MID(G$2,3,2),Vertriebsinfos!$A$26:$C$29,IF($D126="Peak",3,2),FALSE))</f>
        <v/>
      </c>
      <c r="K126" s="270"/>
      <c r="L126" s="271"/>
      <c r="M126" s="272"/>
      <c r="N126" s="139"/>
      <c r="O126" s="281" t="str">
        <f t="shared" si="4"/>
        <v/>
      </c>
    </row>
    <row r="127" spans="1:15" x14ac:dyDescent="0.25">
      <c r="A127" s="96"/>
      <c r="B127" s="238"/>
      <c r="C127" s="93"/>
      <c r="D127" s="92" t="str">
        <f>IF(E127="","",VLOOKUP("Cal"&amp;MID(E127,3,2),Vertriebsinfos!#REF!,2,FALSE))</f>
        <v/>
      </c>
      <c r="E127" s="270"/>
      <c r="F127" s="271"/>
      <c r="G127" s="272"/>
      <c r="H127" s="279" t="str">
        <f>IF(E127="","",VLOOKUP("Cal"&amp;MID(E$2,3,2),Vertriebsinfos!$A$26:$C$29,IF($D127="Peak",3,2),FALSE))</f>
        <v/>
      </c>
      <c r="I127" s="280" t="str">
        <f>IF(F127="","",VLOOKUP("Cal"&amp;MID(F$2,3,2),Vertriebsinfos!$A$26:$C$29,IF($D127="Peak",3,2),FALSE))</f>
        <v/>
      </c>
      <c r="J127" s="281" t="str">
        <f>IF(G127="","",VLOOKUP("Cal"&amp;MID(G$2,3,2),Vertriebsinfos!$A$26:$C$29,IF($D127="Peak",3,2),FALSE))</f>
        <v/>
      </c>
      <c r="K127" s="270"/>
      <c r="L127" s="271"/>
      <c r="M127" s="272"/>
      <c r="N127" s="139"/>
      <c r="O127" s="281" t="str">
        <f t="shared" si="4"/>
        <v/>
      </c>
    </row>
    <row r="128" spans="1:15" x14ac:dyDescent="0.25">
      <c r="A128" s="96"/>
      <c r="B128" s="238"/>
      <c r="C128" s="93"/>
      <c r="D128" s="92" t="str">
        <f>IF(E128="","",VLOOKUP("Cal"&amp;MID(E128,3,2),Vertriebsinfos!#REF!,2,FALSE))</f>
        <v/>
      </c>
      <c r="E128" s="270"/>
      <c r="F128" s="271"/>
      <c r="G128" s="272"/>
      <c r="H128" s="279" t="str">
        <f>IF(E128="","",VLOOKUP("Cal"&amp;MID(E$2,3,2),Vertriebsinfos!$A$26:$C$29,IF($D128="Peak",3,2),FALSE))</f>
        <v/>
      </c>
      <c r="I128" s="280" t="str">
        <f>IF(F128="","",VLOOKUP("Cal"&amp;MID(F$2,3,2),Vertriebsinfos!$A$26:$C$29,IF($D128="Peak",3,2),FALSE))</f>
        <v/>
      </c>
      <c r="J128" s="281" t="str">
        <f>IF(G128="","",VLOOKUP("Cal"&amp;MID(G$2,3,2),Vertriebsinfos!$A$26:$C$29,IF($D128="Peak",3,2),FALSE))</f>
        <v/>
      </c>
      <c r="K128" s="270"/>
      <c r="L128" s="271"/>
      <c r="M128" s="272"/>
      <c r="N128" s="139"/>
      <c r="O128" s="281" t="str">
        <f t="shared" si="4"/>
        <v/>
      </c>
    </row>
    <row r="129" spans="1:15" x14ac:dyDescent="0.25">
      <c r="A129" s="96"/>
      <c r="B129" s="238"/>
      <c r="C129" s="93"/>
      <c r="D129" s="92" t="str">
        <f>IF(E129="","",VLOOKUP("Cal"&amp;MID(E129,3,2),Vertriebsinfos!#REF!,2,FALSE))</f>
        <v/>
      </c>
      <c r="E129" s="270"/>
      <c r="F129" s="271"/>
      <c r="G129" s="272"/>
      <c r="H129" s="279" t="str">
        <f>IF(E129="","",VLOOKUP("Cal"&amp;MID(E$2,3,2),Vertriebsinfos!$A$26:$C$29,IF($D129="Peak",3,2),FALSE))</f>
        <v/>
      </c>
      <c r="I129" s="280" t="str">
        <f>IF(F129="","",VLOOKUP("Cal"&amp;MID(F$2,3,2),Vertriebsinfos!$A$26:$C$29,IF($D129="Peak",3,2),FALSE))</f>
        <v/>
      </c>
      <c r="J129" s="281" t="str">
        <f>IF(G129="","",VLOOKUP("Cal"&amp;MID(G$2,3,2),Vertriebsinfos!$A$26:$C$29,IF($D129="Peak",3,2),FALSE))</f>
        <v/>
      </c>
      <c r="K129" s="270"/>
      <c r="L129" s="271"/>
      <c r="M129" s="272"/>
      <c r="N129" s="139"/>
      <c r="O129" s="281" t="str">
        <f t="shared" si="4"/>
        <v/>
      </c>
    </row>
    <row r="130" spans="1:15" x14ac:dyDescent="0.25">
      <c r="A130" s="96"/>
      <c r="B130" s="238"/>
      <c r="C130" s="93"/>
      <c r="D130" s="92" t="str">
        <f>IF(E130="","",VLOOKUP("Cal"&amp;MID(E130,3,2),Vertriebsinfos!#REF!,2,FALSE))</f>
        <v/>
      </c>
      <c r="E130" s="270"/>
      <c r="F130" s="271"/>
      <c r="G130" s="272"/>
      <c r="H130" s="279" t="str">
        <f>IF(E130="","",VLOOKUP("Cal"&amp;MID(E$2,3,2),Vertriebsinfos!$A$26:$C$29,IF($D130="Peak",3,2),FALSE))</f>
        <v/>
      </c>
      <c r="I130" s="280" t="str">
        <f>IF(F130="","",VLOOKUP("Cal"&amp;MID(F$2,3,2),Vertriebsinfos!$A$26:$C$29,IF($D130="Peak",3,2),FALSE))</f>
        <v/>
      </c>
      <c r="J130" s="281" t="str">
        <f>IF(G130="","",VLOOKUP("Cal"&amp;MID(G$2,3,2),Vertriebsinfos!$A$26:$C$29,IF($D130="Peak",3,2),FALSE))</f>
        <v/>
      </c>
      <c r="K130" s="270"/>
      <c r="L130" s="271"/>
      <c r="M130" s="272"/>
      <c r="N130" s="139"/>
      <c r="O130" s="281" t="str">
        <f t="shared" si="4"/>
        <v/>
      </c>
    </row>
    <row r="131" spans="1:15" x14ac:dyDescent="0.25">
      <c r="A131" s="96"/>
      <c r="B131" s="238"/>
      <c r="C131" s="93"/>
      <c r="D131" s="92" t="str">
        <f>IF(E131="","",VLOOKUP("Cal"&amp;MID(E131,3,2),Vertriebsinfos!#REF!,2,FALSE))</f>
        <v/>
      </c>
      <c r="E131" s="270"/>
      <c r="F131" s="271"/>
      <c r="G131" s="272"/>
      <c r="H131" s="279" t="str">
        <f>IF(E131="","",VLOOKUP("Cal"&amp;MID(E$2,3,2),Vertriebsinfos!$A$26:$C$29,IF($D131="Peak",3,2),FALSE))</f>
        <v/>
      </c>
      <c r="I131" s="280" t="str">
        <f>IF(F131="","",VLOOKUP("Cal"&amp;MID(F$2,3,2),Vertriebsinfos!$A$26:$C$29,IF($D131="Peak",3,2),FALSE))</f>
        <v/>
      </c>
      <c r="J131" s="281" t="str">
        <f>IF(G131="","",VLOOKUP("Cal"&amp;MID(G$2,3,2),Vertriebsinfos!$A$26:$C$29,IF($D131="Peak",3,2),FALSE))</f>
        <v/>
      </c>
      <c r="K131" s="270"/>
      <c r="L131" s="271"/>
      <c r="M131" s="272"/>
      <c r="N131" s="139"/>
      <c r="O131" s="281" t="str">
        <f t="shared" si="4"/>
        <v/>
      </c>
    </row>
    <row r="132" spans="1:15" x14ac:dyDescent="0.25">
      <c r="A132" s="96"/>
      <c r="B132" s="238"/>
      <c r="C132" s="93"/>
      <c r="D132" s="92" t="str">
        <f>IF(E132="","",VLOOKUP("Cal"&amp;MID(E132,3,2),Vertriebsinfos!#REF!,2,FALSE))</f>
        <v/>
      </c>
      <c r="E132" s="270"/>
      <c r="F132" s="271"/>
      <c r="G132" s="272"/>
      <c r="H132" s="279" t="str">
        <f>IF(E132="","",VLOOKUP("Cal"&amp;MID(E$2,3,2),Vertriebsinfos!$A$26:$C$29,IF($D132="Peak",3,2),FALSE))</f>
        <v/>
      </c>
      <c r="I132" s="280" t="str">
        <f>IF(F132="","",VLOOKUP("Cal"&amp;MID(F$2,3,2),Vertriebsinfos!$A$26:$C$29,IF($D132="Peak",3,2),FALSE))</f>
        <v/>
      </c>
      <c r="J132" s="281" t="str">
        <f>IF(G132="","",VLOOKUP("Cal"&amp;MID(G$2,3,2),Vertriebsinfos!$A$26:$C$29,IF($D132="Peak",3,2),FALSE))</f>
        <v/>
      </c>
      <c r="K132" s="270"/>
      <c r="L132" s="271"/>
      <c r="M132" s="272"/>
      <c r="N132" s="139"/>
      <c r="O132" s="281" t="str">
        <f t="shared" si="4"/>
        <v/>
      </c>
    </row>
    <row r="133" spans="1:15" x14ac:dyDescent="0.25">
      <c r="A133" s="96"/>
      <c r="B133" s="238"/>
      <c r="C133" s="93"/>
      <c r="D133" s="92" t="str">
        <f>IF(E133="","",VLOOKUP("Cal"&amp;MID(E133,3,2),Vertriebsinfos!#REF!,2,FALSE))</f>
        <v/>
      </c>
      <c r="E133" s="270"/>
      <c r="F133" s="271"/>
      <c r="G133" s="272"/>
      <c r="H133" s="279" t="str">
        <f>IF(E133="","",VLOOKUP("Cal"&amp;MID(E$2,3,2),Vertriebsinfos!$A$26:$C$29,IF($D133="Peak",3,2),FALSE))</f>
        <v/>
      </c>
      <c r="I133" s="280" t="str">
        <f>IF(F133="","",VLOOKUP("Cal"&amp;MID(F$2,3,2),Vertriebsinfos!$A$26:$C$29,IF($D133="Peak",3,2),FALSE))</f>
        <v/>
      </c>
      <c r="J133" s="281" t="str">
        <f>IF(G133="","",VLOOKUP("Cal"&amp;MID(G$2,3,2),Vertriebsinfos!$A$26:$C$29,IF($D133="Peak",3,2),FALSE))</f>
        <v/>
      </c>
      <c r="K133" s="270"/>
      <c r="L133" s="271"/>
      <c r="M133" s="272"/>
      <c r="N133" s="139"/>
      <c r="O133" s="281" t="str">
        <f t="shared" si="4"/>
        <v/>
      </c>
    </row>
    <row r="134" spans="1:15" x14ac:dyDescent="0.25">
      <c r="A134" s="96"/>
      <c r="B134" s="238"/>
      <c r="C134" s="93"/>
      <c r="D134" s="92" t="str">
        <f>IF(E134="","",VLOOKUP("Cal"&amp;MID(E134,3,2),Vertriebsinfos!#REF!,2,FALSE))</f>
        <v/>
      </c>
      <c r="E134" s="270"/>
      <c r="F134" s="271"/>
      <c r="G134" s="272"/>
      <c r="H134" s="279" t="str">
        <f>IF(E134="","",VLOOKUP("Cal"&amp;MID(E$2,3,2),Vertriebsinfos!$A$26:$C$29,IF($D134="Peak",3,2),FALSE))</f>
        <v/>
      </c>
      <c r="I134" s="280" t="str">
        <f>IF(F134="","",VLOOKUP("Cal"&amp;MID(F$2,3,2),Vertriebsinfos!$A$26:$C$29,IF($D134="Peak",3,2),FALSE))</f>
        <v/>
      </c>
      <c r="J134" s="281" t="str">
        <f>IF(G134="","",VLOOKUP("Cal"&amp;MID(G$2,3,2),Vertriebsinfos!$A$26:$C$29,IF($D134="Peak",3,2),FALSE))</f>
        <v/>
      </c>
      <c r="K134" s="270"/>
      <c r="L134" s="271"/>
      <c r="M134" s="272"/>
      <c r="N134" s="139"/>
      <c r="O134" s="281" t="str">
        <f t="shared" si="4"/>
        <v/>
      </c>
    </row>
    <row r="135" spans="1:15" x14ac:dyDescent="0.25">
      <c r="A135" s="96"/>
      <c r="B135" s="238"/>
      <c r="C135" s="93"/>
      <c r="D135" s="92" t="str">
        <f>IF(E135="","",VLOOKUP("Cal"&amp;MID(E135,3,2),Vertriebsinfos!#REF!,2,FALSE))</f>
        <v/>
      </c>
      <c r="E135" s="270"/>
      <c r="F135" s="271"/>
      <c r="G135" s="272"/>
      <c r="H135" s="279" t="str">
        <f>IF(E135="","",VLOOKUP("Cal"&amp;MID(E$2,3,2),Vertriebsinfos!$A$26:$C$29,IF($D135="Peak",3,2),FALSE))</f>
        <v/>
      </c>
      <c r="I135" s="280" t="str">
        <f>IF(F135="","",VLOOKUP("Cal"&amp;MID(F$2,3,2),Vertriebsinfos!$A$26:$C$29,IF($D135="Peak",3,2),FALSE))</f>
        <v/>
      </c>
      <c r="J135" s="281" t="str">
        <f>IF(G135="","",VLOOKUP("Cal"&amp;MID(G$2,3,2),Vertriebsinfos!$A$26:$C$29,IF($D135="Peak",3,2),FALSE))</f>
        <v/>
      </c>
      <c r="K135" s="270"/>
      <c r="L135" s="271"/>
      <c r="M135" s="272"/>
      <c r="N135" s="139"/>
      <c r="O135" s="281" t="str">
        <f t="shared" si="4"/>
        <v/>
      </c>
    </row>
    <row r="136" spans="1:15" x14ac:dyDescent="0.25">
      <c r="A136" s="96"/>
      <c r="B136" s="238"/>
      <c r="C136" s="93"/>
      <c r="D136" s="92" t="str">
        <f>IF(E136="","",VLOOKUP("Cal"&amp;MID(E136,3,2),Vertriebsinfos!#REF!,2,FALSE))</f>
        <v/>
      </c>
      <c r="E136" s="270"/>
      <c r="F136" s="271"/>
      <c r="G136" s="272"/>
      <c r="H136" s="279" t="str">
        <f>IF(E136="","",VLOOKUP("Cal"&amp;MID(E$2,3,2),Vertriebsinfos!$A$26:$C$29,IF($D136="Peak",3,2),FALSE))</f>
        <v/>
      </c>
      <c r="I136" s="280" t="str">
        <f>IF(F136="","",VLOOKUP("Cal"&amp;MID(F$2,3,2),Vertriebsinfos!$A$26:$C$29,IF($D136="Peak",3,2),FALSE))</f>
        <v/>
      </c>
      <c r="J136" s="281" t="str">
        <f>IF(G136="","",VLOOKUP("Cal"&amp;MID(G$2,3,2),Vertriebsinfos!$A$26:$C$29,IF($D136="Peak",3,2),FALSE))</f>
        <v/>
      </c>
      <c r="K136" s="270"/>
      <c r="L136" s="271"/>
      <c r="M136" s="272"/>
      <c r="N136" s="139"/>
      <c r="O136" s="281" t="str">
        <f t="shared" si="4"/>
        <v/>
      </c>
    </row>
    <row r="137" spans="1:15" x14ac:dyDescent="0.25">
      <c r="A137" s="96"/>
      <c r="B137" s="238"/>
      <c r="C137" s="93"/>
      <c r="D137" s="92" t="str">
        <f>IF(E137="","",VLOOKUP("Cal"&amp;MID(E137,3,2),Vertriebsinfos!#REF!,2,FALSE))</f>
        <v/>
      </c>
      <c r="E137" s="270"/>
      <c r="F137" s="271"/>
      <c r="G137" s="272"/>
      <c r="H137" s="279" t="str">
        <f>IF(E137="","",VLOOKUP("Cal"&amp;MID(E$2,3,2),Vertriebsinfos!$A$26:$C$29,IF($D137="Peak",3,2),FALSE))</f>
        <v/>
      </c>
      <c r="I137" s="280" t="str">
        <f>IF(F137="","",VLOOKUP("Cal"&amp;MID(F$2,3,2),Vertriebsinfos!$A$26:$C$29,IF($D137="Peak",3,2),FALSE))</f>
        <v/>
      </c>
      <c r="J137" s="281" t="str">
        <f>IF(G137="","",VLOOKUP("Cal"&amp;MID(G$2,3,2),Vertriebsinfos!$A$26:$C$29,IF($D137="Peak",3,2),FALSE))</f>
        <v/>
      </c>
      <c r="K137" s="270"/>
      <c r="L137" s="271"/>
      <c r="M137" s="272"/>
      <c r="N137" s="139"/>
      <c r="O137" s="281" t="str">
        <f t="shared" si="4"/>
        <v/>
      </c>
    </row>
    <row r="138" spans="1:15" x14ac:dyDescent="0.25">
      <c r="A138" s="96"/>
      <c r="B138" s="238"/>
      <c r="C138" s="93"/>
      <c r="D138" s="92" t="str">
        <f>IF(E138="","",VLOOKUP("Cal"&amp;MID(E138,3,2),Vertriebsinfos!#REF!,2,FALSE))</f>
        <v/>
      </c>
      <c r="E138" s="270"/>
      <c r="F138" s="271"/>
      <c r="G138" s="272"/>
      <c r="H138" s="279" t="str">
        <f>IF(E138="","",VLOOKUP("Cal"&amp;MID(E$2,3,2),Vertriebsinfos!$A$26:$C$29,IF($D138="Peak",3,2),FALSE))</f>
        <v/>
      </c>
      <c r="I138" s="280" t="str">
        <f>IF(F138="","",VLOOKUP("Cal"&amp;MID(F$2,3,2),Vertriebsinfos!$A$26:$C$29,IF($D138="Peak",3,2),FALSE))</f>
        <v/>
      </c>
      <c r="J138" s="281" t="str">
        <f>IF(G138="","",VLOOKUP("Cal"&amp;MID(G$2,3,2),Vertriebsinfos!$A$26:$C$29,IF($D138="Peak",3,2),FALSE))</f>
        <v/>
      </c>
      <c r="K138" s="270"/>
      <c r="L138" s="271"/>
      <c r="M138" s="272"/>
      <c r="N138" s="139"/>
      <c r="O138" s="281" t="str">
        <f t="shared" si="4"/>
        <v/>
      </c>
    </row>
    <row r="139" spans="1:15" x14ac:dyDescent="0.25">
      <c r="A139" s="96"/>
      <c r="B139" s="238"/>
      <c r="C139" s="93"/>
      <c r="D139" s="92" t="str">
        <f>IF(E139="","",VLOOKUP("Cal"&amp;MID(E139,3,2),Vertriebsinfos!#REF!,2,FALSE))</f>
        <v/>
      </c>
      <c r="E139" s="270"/>
      <c r="F139" s="271"/>
      <c r="G139" s="272"/>
      <c r="H139" s="279" t="str">
        <f>IF(E139="","",VLOOKUP("Cal"&amp;MID(E$2,3,2),Vertriebsinfos!$A$26:$C$29,IF($D139="Peak",3,2),FALSE))</f>
        <v/>
      </c>
      <c r="I139" s="280" t="str">
        <f>IF(F139="","",VLOOKUP("Cal"&amp;MID(F$2,3,2),Vertriebsinfos!$A$26:$C$29,IF($D139="Peak",3,2),FALSE))</f>
        <v/>
      </c>
      <c r="J139" s="281" t="str">
        <f>IF(G139="","",VLOOKUP("Cal"&amp;MID(G$2,3,2),Vertriebsinfos!$A$26:$C$29,IF($D139="Peak",3,2),FALSE))</f>
        <v/>
      </c>
      <c r="K139" s="270"/>
      <c r="L139" s="271"/>
      <c r="M139" s="272"/>
      <c r="N139" s="139"/>
      <c r="O139" s="281" t="str">
        <f t="shared" si="4"/>
        <v/>
      </c>
    </row>
    <row r="140" spans="1:15" x14ac:dyDescent="0.25">
      <c r="A140" s="96"/>
      <c r="B140" s="238"/>
      <c r="C140" s="93"/>
      <c r="D140" s="92" t="str">
        <f>IF(E140="","",VLOOKUP("Cal"&amp;MID(E140,3,2),Vertriebsinfos!#REF!,2,FALSE))</f>
        <v/>
      </c>
      <c r="E140" s="270"/>
      <c r="F140" s="271"/>
      <c r="G140" s="272"/>
      <c r="H140" s="279" t="str">
        <f>IF(E140="","",VLOOKUP("Cal"&amp;MID(E$2,3,2),Vertriebsinfos!$A$26:$C$29,IF($D140="Peak",3,2),FALSE))</f>
        <v/>
      </c>
      <c r="I140" s="280" t="str">
        <f>IF(F140="","",VLOOKUP("Cal"&amp;MID(F$2,3,2),Vertriebsinfos!$A$26:$C$29,IF($D140="Peak",3,2),FALSE))</f>
        <v/>
      </c>
      <c r="J140" s="281" t="str">
        <f>IF(G140="","",VLOOKUP("Cal"&amp;MID(G$2,3,2),Vertriebsinfos!$A$26:$C$29,IF($D140="Peak",3,2),FALSE))</f>
        <v/>
      </c>
      <c r="K140" s="270"/>
      <c r="L140" s="271"/>
      <c r="M140" s="272"/>
      <c r="N140" s="139"/>
      <c r="O140" s="281" t="str">
        <f t="shared" si="4"/>
        <v/>
      </c>
    </row>
    <row r="141" spans="1:15" x14ac:dyDescent="0.25">
      <c r="A141" s="96"/>
      <c r="B141" s="238"/>
      <c r="C141" s="93"/>
      <c r="D141" s="92" t="str">
        <f>IF(E141="","",VLOOKUP("Cal"&amp;MID(E141,3,2),Vertriebsinfos!#REF!,2,FALSE))</f>
        <v/>
      </c>
      <c r="E141" s="270"/>
      <c r="F141" s="271"/>
      <c r="G141" s="272"/>
      <c r="H141" s="279" t="str">
        <f>IF(E141="","",VLOOKUP("Cal"&amp;MID(E$2,3,2),Vertriebsinfos!$A$26:$C$29,IF($D141="Peak",3,2),FALSE))</f>
        <v/>
      </c>
      <c r="I141" s="280" t="str">
        <f>IF(F141="","",VLOOKUP("Cal"&amp;MID(F$2,3,2),Vertriebsinfos!$A$26:$C$29,IF($D141="Peak",3,2),FALSE))</f>
        <v/>
      </c>
      <c r="J141" s="281" t="str">
        <f>IF(G141="","",VLOOKUP("Cal"&amp;MID(G$2,3,2),Vertriebsinfos!$A$26:$C$29,IF($D141="Peak",3,2),FALSE))</f>
        <v/>
      </c>
      <c r="K141" s="270"/>
      <c r="L141" s="271"/>
      <c r="M141" s="272"/>
      <c r="N141" s="139"/>
      <c r="O141" s="281" t="str">
        <f t="shared" si="4"/>
        <v/>
      </c>
    </row>
    <row r="142" spans="1:15" x14ac:dyDescent="0.25">
      <c r="A142" s="96"/>
      <c r="B142" s="238"/>
      <c r="C142" s="93"/>
      <c r="D142" s="92" t="str">
        <f>IF(E142="","",VLOOKUP("Cal"&amp;MID(E142,3,2),Vertriebsinfos!#REF!,2,FALSE))</f>
        <v/>
      </c>
      <c r="E142" s="270"/>
      <c r="F142" s="271"/>
      <c r="G142" s="272"/>
      <c r="H142" s="279" t="str">
        <f>IF(E142="","",VLOOKUP("Cal"&amp;MID(E$2,3,2),Vertriebsinfos!$A$26:$C$29,IF($D142="Peak",3,2),FALSE))</f>
        <v/>
      </c>
      <c r="I142" s="280" t="str">
        <f>IF(F142="","",VLOOKUP("Cal"&amp;MID(F$2,3,2),Vertriebsinfos!$A$26:$C$29,IF($D142="Peak",3,2),FALSE))</f>
        <v/>
      </c>
      <c r="J142" s="281" t="str">
        <f>IF(G142="","",VLOOKUP("Cal"&amp;MID(G$2,3,2),Vertriebsinfos!$A$26:$C$29,IF($D142="Peak",3,2),FALSE))</f>
        <v/>
      </c>
      <c r="K142" s="270"/>
      <c r="L142" s="271"/>
      <c r="M142" s="272"/>
      <c r="N142" s="139"/>
      <c r="O142" s="281" t="str">
        <f t="shared" si="4"/>
        <v/>
      </c>
    </row>
    <row r="143" spans="1:15" x14ac:dyDescent="0.25">
      <c r="A143" s="96"/>
      <c r="B143" s="238"/>
      <c r="C143" s="93"/>
      <c r="D143" s="92" t="str">
        <f>IF(E143="","",VLOOKUP("Cal"&amp;MID(E143,3,2),Vertriebsinfos!#REF!,2,FALSE))</f>
        <v/>
      </c>
      <c r="E143" s="270"/>
      <c r="F143" s="271"/>
      <c r="G143" s="272"/>
      <c r="H143" s="279" t="str">
        <f>IF(E143="","",VLOOKUP("Cal"&amp;MID(E$2,3,2),Vertriebsinfos!$A$26:$C$29,IF($D143="Peak",3,2),FALSE))</f>
        <v/>
      </c>
      <c r="I143" s="280" t="str">
        <f>IF(F143="","",VLOOKUP("Cal"&amp;MID(F$2,3,2),Vertriebsinfos!$A$26:$C$29,IF($D143="Peak",3,2),FALSE))</f>
        <v/>
      </c>
      <c r="J143" s="281" t="str">
        <f>IF(G143="","",VLOOKUP("Cal"&amp;MID(G$2,3,2),Vertriebsinfos!$A$26:$C$29,IF($D143="Peak",3,2),FALSE))</f>
        <v/>
      </c>
      <c r="K143" s="270"/>
      <c r="L143" s="271"/>
      <c r="M143" s="272"/>
      <c r="N143" s="139"/>
      <c r="O143" s="281" t="str">
        <f t="shared" si="4"/>
        <v/>
      </c>
    </row>
    <row r="144" spans="1:15" x14ac:dyDescent="0.25">
      <c r="A144" s="96"/>
      <c r="B144" s="238"/>
      <c r="C144" s="93"/>
      <c r="D144" s="92" t="str">
        <f>IF(E144="","",VLOOKUP("Cal"&amp;MID(E144,3,2),Vertriebsinfos!#REF!,2,FALSE))</f>
        <v/>
      </c>
      <c r="E144" s="270"/>
      <c r="F144" s="271"/>
      <c r="G144" s="272"/>
      <c r="H144" s="279" t="str">
        <f>IF(E144="","",VLOOKUP("Cal"&amp;MID(E$2,3,2),Vertriebsinfos!$A$26:$C$29,IF($D144="Peak",3,2),FALSE))</f>
        <v/>
      </c>
      <c r="I144" s="280" t="str">
        <f>IF(F144="","",VLOOKUP("Cal"&amp;MID(F$2,3,2),Vertriebsinfos!$A$26:$C$29,IF($D144="Peak",3,2),FALSE))</f>
        <v/>
      </c>
      <c r="J144" s="281" t="str">
        <f>IF(G144="","",VLOOKUP("Cal"&amp;MID(G$2,3,2),Vertriebsinfos!$A$26:$C$29,IF($D144="Peak",3,2),FALSE))</f>
        <v/>
      </c>
      <c r="K144" s="270"/>
      <c r="L144" s="271"/>
      <c r="M144" s="272"/>
      <c r="N144" s="139"/>
      <c r="O144" s="281" t="str">
        <f t="shared" si="4"/>
        <v/>
      </c>
    </row>
    <row r="145" spans="1:15" x14ac:dyDescent="0.25">
      <c r="A145" s="96"/>
      <c r="B145" s="238"/>
      <c r="C145" s="93"/>
      <c r="D145" s="92" t="str">
        <f>IF(E145="","",VLOOKUP("Cal"&amp;MID(E145,3,2),Vertriebsinfos!#REF!,2,FALSE))</f>
        <v/>
      </c>
      <c r="E145" s="270"/>
      <c r="F145" s="271"/>
      <c r="G145" s="272"/>
      <c r="H145" s="279" t="str">
        <f>IF(E145="","",VLOOKUP("Cal"&amp;MID(E$2,3,2),Vertriebsinfos!$A$26:$C$29,IF($D145="Peak",3,2),FALSE))</f>
        <v/>
      </c>
      <c r="I145" s="280" t="str">
        <f>IF(F145="","",VLOOKUP("Cal"&amp;MID(F$2,3,2),Vertriebsinfos!$A$26:$C$29,IF($D145="Peak",3,2),FALSE))</f>
        <v/>
      </c>
      <c r="J145" s="281" t="str">
        <f>IF(G145="","",VLOOKUP("Cal"&amp;MID(G$2,3,2),Vertriebsinfos!$A$26:$C$29,IF($D145="Peak",3,2),FALSE))</f>
        <v/>
      </c>
      <c r="K145" s="270"/>
      <c r="L145" s="271"/>
      <c r="M145" s="272"/>
      <c r="N145" s="139"/>
      <c r="O145" s="281" t="str">
        <f t="shared" si="4"/>
        <v/>
      </c>
    </row>
    <row r="146" spans="1:15" x14ac:dyDescent="0.25">
      <c r="A146" s="96"/>
      <c r="B146" s="238"/>
      <c r="C146" s="93"/>
      <c r="D146" s="92" t="str">
        <f>IF(E146="","",VLOOKUP("Cal"&amp;MID(E146,3,2),Vertriebsinfos!#REF!,2,FALSE))</f>
        <v/>
      </c>
      <c r="E146" s="270"/>
      <c r="F146" s="271"/>
      <c r="G146" s="272"/>
      <c r="H146" s="279" t="str">
        <f>IF(E146="","",VLOOKUP("Cal"&amp;MID(E$2,3,2),Vertriebsinfos!$A$26:$C$29,IF($D146="Peak",3,2),FALSE))</f>
        <v/>
      </c>
      <c r="I146" s="280" t="str">
        <f>IF(F146="","",VLOOKUP("Cal"&amp;MID(F$2,3,2),Vertriebsinfos!$A$26:$C$29,IF($D146="Peak",3,2),FALSE))</f>
        <v/>
      </c>
      <c r="J146" s="281" t="str">
        <f>IF(G146="","",VLOOKUP("Cal"&amp;MID(G$2,3,2),Vertriebsinfos!$A$26:$C$29,IF($D146="Peak",3,2),FALSE))</f>
        <v/>
      </c>
      <c r="K146" s="283"/>
      <c r="L146" s="273"/>
      <c r="M146" s="274"/>
      <c r="N146" s="139"/>
      <c r="O146" s="281" t="str">
        <f t="shared" si="4"/>
        <v/>
      </c>
    </row>
    <row r="147" spans="1:15" x14ac:dyDescent="0.25">
      <c r="A147" s="96"/>
      <c r="B147" s="238"/>
      <c r="C147" s="93"/>
      <c r="D147" s="92" t="str">
        <f>IF(E147="","",VLOOKUP("Cal"&amp;MID(E147,3,2),Vertriebsinfos!#REF!,2,FALSE))</f>
        <v/>
      </c>
      <c r="E147" s="270"/>
      <c r="F147" s="271"/>
      <c r="G147" s="272"/>
      <c r="H147" s="279" t="str">
        <f>IF(E147="","",VLOOKUP("Cal"&amp;MID(E$2,3,2),Vertriebsinfos!$A$26:$C$29,IF($D147="Peak",3,2),FALSE))</f>
        <v/>
      </c>
      <c r="I147" s="280" t="str">
        <f>IF(F147="","",VLOOKUP("Cal"&amp;MID(F$2,3,2),Vertriebsinfos!$A$26:$C$29,IF($D147="Peak",3,2),FALSE))</f>
        <v/>
      </c>
      <c r="J147" s="281" t="str">
        <f>IF(G147="","",VLOOKUP("Cal"&amp;MID(G$2,3,2),Vertriebsinfos!$A$26:$C$29,IF($D147="Peak",3,2),FALSE))</f>
        <v/>
      </c>
      <c r="K147" s="283"/>
      <c r="L147" s="273"/>
      <c r="M147" s="274"/>
      <c r="N147" s="139"/>
      <c r="O147" s="281" t="str">
        <f t="shared" ref="O147:O153" si="5">IF(A147="","",IF(OR(AND(K147&lt;&gt;"",H147&gt;K147),AND(L147&lt;&gt;"",I147&gt;L147),AND(M147&lt;&gt;"",J147&gt;M147)),"ja","nein"))</f>
        <v/>
      </c>
    </row>
    <row r="148" spans="1:15" x14ac:dyDescent="0.25">
      <c r="A148" s="96"/>
      <c r="B148" s="238"/>
      <c r="C148" s="93"/>
      <c r="D148" s="92" t="str">
        <f>IF(E148="","",VLOOKUP("Cal"&amp;MID(E148,3,2),Vertriebsinfos!#REF!,2,FALSE))</f>
        <v/>
      </c>
      <c r="E148" s="270"/>
      <c r="F148" s="271"/>
      <c r="G148" s="272"/>
      <c r="H148" s="279" t="str">
        <f>IF(E148="","",VLOOKUP("Cal"&amp;MID(E$2,3,2),Vertriebsinfos!$A$26:$C$29,IF($D148="Peak",3,2),FALSE))</f>
        <v/>
      </c>
      <c r="I148" s="280" t="str">
        <f>IF(F148="","",VLOOKUP("Cal"&amp;MID(F$2,3,2),Vertriebsinfos!$A$26:$C$29,IF($D148="Peak",3,2),FALSE))</f>
        <v/>
      </c>
      <c r="J148" s="281" t="str">
        <f>IF(G148="","",VLOOKUP("Cal"&amp;MID(G$2,3,2),Vertriebsinfos!$A$26:$C$29,IF($D148="Peak",3,2),FALSE))</f>
        <v/>
      </c>
      <c r="K148" s="283"/>
      <c r="L148" s="273"/>
      <c r="M148" s="274"/>
      <c r="N148" s="139"/>
      <c r="O148" s="281" t="str">
        <f t="shared" si="5"/>
        <v/>
      </c>
    </row>
    <row r="149" spans="1:15" x14ac:dyDescent="0.25">
      <c r="A149" s="96"/>
      <c r="B149" s="238"/>
      <c r="C149" s="93"/>
      <c r="D149" s="92" t="str">
        <f>IF(E149="","",VLOOKUP("Cal"&amp;MID(E149,3,2),Vertriebsinfos!#REF!,2,FALSE))</f>
        <v/>
      </c>
      <c r="E149" s="270"/>
      <c r="F149" s="271"/>
      <c r="G149" s="272"/>
      <c r="H149" s="279" t="str">
        <f>IF(E149="","",VLOOKUP("Cal"&amp;MID(E$2,3,2),Vertriebsinfos!$A$26:$C$29,IF($D149="Peak",3,2),FALSE))</f>
        <v/>
      </c>
      <c r="I149" s="280" t="str">
        <f>IF(F149="","",VLOOKUP("Cal"&amp;MID(F$2,3,2),Vertriebsinfos!$A$26:$C$29,IF($D149="Peak",3,2),FALSE))</f>
        <v/>
      </c>
      <c r="J149" s="281" t="str">
        <f>IF(G149="","",VLOOKUP("Cal"&amp;MID(G$2,3,2),Vertriebsinfos!$A$26:$C$29,IF($D149="Peak",3,2),FALSE))</f>
        <v/>
      </c>
      <c r="K149" s="283"/>
      <c r="L149" s="273"/>
      <c r="M149" s="274"/>
      <c r="N149" s="139"/>
      <c r="O149" s="281" t="str">
        <f t="shared" si="5"/>
        <v/>
      </c>
    </row>
    <row r="150" spans="1:15" x14ac:dyDescent="0.25">
      <c r="A150" s="96"/>
      <c r="B150" s="238"/>
      <c r="C150" s="93"/>
      <c r="D150" s="92" t="str">
        <f>IF(E150="","",VLOOKUP("Cal"&amp;MID(E150,3,2),Vertriebsinfos!#REF!,2,FALSE))</f>
        <v/>
      </c>
      <c r="E150" s="270"/>
      <c r="F150" s="271"/>
      <c r="G150" s="272"/>
      <c r="H150" s="279" t="str">
        <f>IF(E150="","",VLOOKUP("Cal"&amp;MID(E$2,3,2),Vertriebsinfos!$A$26:$C$29,IF($D150="Peak",3,2),FALSE))</f>
        <v/>
      </c>
      <c r="I150" s="280" t="str">
        <f>IF(F150="","",VLOOKUP("Cal"&amp;MID(F$2,3,2),Vertriebsinfos!$A$26:$C$29,IF($D150="Peak",3,2),FALSE))</f>
        <v/>
      </c>
      <c r="J150" s="281" t="str">
        <f>IF(G150="","",VLOOKUP("Cal"&amp;MID(G$2,3,2),Vertriebsinfos!$A$26:$C$29,IF($D150="Peak",3,2),FALSE))</f>
        <v/>
      </c>
      <c r="K150" s="283"/>
      <c r="L150" s="273"/>
      <c r="M150" s="274"/>
      <c r="N150" s="139"/>
      <c r="O150" s="281" t="str">
        <f t="shared" si="5"/>
        <v/>
      </c>
    </row>
    <row r="151" spans="1:15" x14ac:dyDescent="0.25">
      <c r="A151" s="96"/>
      <c r="B151" s="238"/>
      <c r="C151" s="93"/>
      <c r="D151" s="92" t="str">
        <f>IF(E151="","",VLOOKUP("Cal"&amp;MID(E151,3,2),Vertriebsinfos!#REF!,2,FALSE))</f>
        <v/>
      </c>
      <c r="E151" s="270"/>
      <c r="F151" s="271"/>
      <c r="G151" s="272"/>
      <c r="H151" s="279" t="str">
        <f>IF(E151="","",VLOOKUP("Cal"&amp;MID(E$2,3,2),Vertriebsinfos!$A$26:$C$29,IF($D151="Peak",3,2),FALSE))</f>
        <v/>
      </c>
      <c r="I151" s="280" t="str">
        <f>IF(F151="","",VLOOKUP("Cal"&amp;MID(F$2,3,2),Vertriebsinfos!$A$26:$C$29,IF($D151="Peak",3,2),FALSE))</f>
        <v/>
      </c>
      <c r="J151" s="281" t="str">
        <f>IF(G151="","",VLOOKUP("Cal"&amp;MID(G$2,3,2),Vertriebsinfos!$A$26:$C$29,IF($D151="Peak",3,2),FALSE))</f>
        <v/>
      </c>
      <c r="K151" s="283"/>
      <c r="L151" s="273"/>
      <c r="M151" s="274"/>
      <c r="N151" s="139"/>
      <c r="O151" s="281" t="str">
        <f t="shared" si="5"/>
        <v/>
      </c>
    </row>
    <row r="152" spans="1:15" x14ac:dyDescent="0.25">
      <c r="A152" s="96"/>
      <c r="B152" s="238"/>
      <c r="C152" s="93"/>
      <c r="D152" s="92" t="str">
        <f>IF(E152="","",VLOOKUP("Cal"&amp;MID(E152,3,2),Vertriebsinfos!#REF!,2,FALSE))</f>
        <v/>
      </c>
      <c r="E152" s="270"/>
      <c r="F152" s="271"/>
      <c r="G152" s="272"/>
      <c r="H152" s="279" t="str">
        <f>IF(E152="","",VLOOKUP("Cal"&amp;MID(E$2,3,2),Vertriebsinfos!$A$26:$C$29,IF($D152="Peak",3,2),FALSE))</f>
        <v/>
      </c>
      <c r="I152" s="280" t="str">
        <f>IF(F152="","",VLOOKUP("Cal"&amp;MID(F$2,3,2),Vertriebsinfos!$A$26:$C$29,IF($D152="Peak",3,2),FALSE))</f>
        <v/>
      </c>
      <c r="J152" s="281" t="str">
        <f>IF(G152="","",VLOOKUP("Cal"&amp;MID(G$2,3,2),Vertriebsinfos!$A$26:$C$29,IF($D152="Peak",3,2),FALSE))</f>
        <v/>
      </c>
      <c r="K152" s="283"/>
      <c r="L152" s="273"/>
      <c r="M152" s="274"/>
      <c r="N152" s="139"/>
      <c r="O152" s="281" t="str">
        <f t="shared" si="5"/>
        <v/>
      </c>
    </row>
    <row r="153" spans="1:15" x14ac:dyDescent="0.25">
      <c r="A153" s="96"/>
      <c r="B153" s="238"/>
      <c r="C153" s="93"/>
      <c r="D153" s="92" t="str">
        <f>IF(E153="","",VLOOKUP("Cal"&amp;MID(E153,3,2),Vertriebsinfos!#REF!,2,FALSE))</f>
        <v/>
      </c>
      <c r="E153" s="270"/>
      <c r="F153" s="271"/>
      <c r="G153" s="272"/>
      <c r="H153" s="279" t="str">
        <f>IF(E153="","",VLOOKUP("Cal"&amp;MID(E$2,3,2),Vertriebsinfos!$A$26:$C$29,IF($D153="Peak",3,2),FALSE))</f>
        <v/>
      </c>
      <c r="I153" s="280" t="str">
        <f>IF(F153="","",VLOOKUP("Cal"&amp;MID(F$2,3,2),Vertriebsinfos!$A$26:$C$29,IF($D153="Peak",3,2),FALSE))</f>
        <v/>
      </c>
      <c r="J153" s="281" t="str">
        <f>IF(G153="","",VLOOKUP("Cal"&amp;MID(G$2,3,2),Vertriebsinfos!$A$26:$C$29,IF($D153="Peak",3,2),FALSE))</f>
        <v/>
      </c>
      <c r="K153" s="283"/>
      <c r="L153" s="273"/>
      <c r="M153" s="274"/>
      <c r="N153" s="139"/>
      <c r="O153" s="281" t="str">
        <f t="shared" si="5"/>
        <v/>
      </c>
    </row>
    <row r="154" spans="1:15" x14ac:dyDescent="0.25">
      <c r="A154" s="96"/>
      <c r="B154" s="238"/>
      <c r="C154" s="93"/>
      <c r="D154" s="92"/>
      <c r="E154" s="270"/>
      <c r="F154" s="271"/>
      <c r="G154" s="272"/>
      <c r="H154" s="279"/>
      <c r="I154" s="280"/>
      <c r="J154" s="281"/>
      <c r="K154" s="283"/>
      <c r="L154" s="273"/>
      <c r="M154" s="274"/>
      <c r="N154" s="139"/>
      <c r="O154" s="281"/>
    </row>
    <row r="155" spans="1:15" ht="17.850000000000001" customHeight="1" x14ac:dyDescent="0.25">
      <c r="A155" s="96"/>
      <c r="B155" s="238"/>
      <c r="C155" s="93"/>
      <c r="D155" s="92"/>
      <c r="E155" s="270"/>
      <c r="F155" s="271"/>
      <c r="G155" s="272"/>
      <c r="H155" s="279"/>
      <c r="I155" s="280"/>
      <c r="J155" s="281"/>
      <c r="K155" s="283"/>
      <c r="L155" s="273"/>
      <c r="M155" s="274"/>
      <c r="N155" s="139"/>
      <c r="O155" s="281"/>
    </row>
    <row r="156" spans="1:15" ht="17.850000000000001" customHeight="1" x14ac:dyDescent="0.25">
      <c r="A156" s="96"/>
      <c r="B156" s="238"/>
      <c r="C156" s="93"/>
      <c r="D156" s="92"/>
      <c r="E156" s="270"/>
      <c r="F156" s="271"/>
      <c r="G156" s="272"/>
      <c r="H156" s="279"/>
      <c r="I156" s="280"/>
      <c r="J156" s="281"/>
      <c r="K156" s="283"/>
      <c r="L156" s="273"/>
      <c r="M156" s="274"/>
      <c r="N156" s="139"/>
      <c r="O156" s="281"/>
    </row>
    <row r="157" spans="1:15" ht="17.850000000000001" customHeight="1" x14ac:dyDescent="0.25">
      <c r="A157" s="96"/>
      <c r="B157" s="238"/>
      <c r="C157" s="93"/>
      <c r="D157" s="92"/>
      <c r="E157" s="270"/>
      <c r="F157" s="271"/>
      <c r="G157" s="272"/>
      <c r="H157" s="279"/>
      <c r="I157" s="280"/>
      <c r="J157" s="281"/>
      <c r="K157" s="283"/>
      <c r="L157" s="273"/>
      <c r="M157" s="274"/>
      <c r="N157" s="139"/>
      <c r="O157" s="281"/>
    </row>
    <row r="158" spans="1:15" ht="17.850000000000001" customHeight="1" x14ac:dyDescent="0.25">
      <c r="A158" s="96"/>
      <c r="B158" s="238"/>
      <c r="C158" s="93"/>
      <c r="D158" s="92"/>
      <c r="E158" s="270"/>
      <c r="F158" s="271"/>
      <c r="G158" s="272"/>
      <c r="H158" s="279"/>
      <c r="I158" s="280"/>
      <c r="J158" s="281"/>
      <c r="K158" s="283"/>
      <c r="L158" s="273"/>
      <c r="M158" s="274"/>
      <c r="N158" s="139"/>
      <c r="O158" s="281"/>
    </row>
    <row r="159" spans="1:15" ht="17.850000000000001" customHeight="1" x14ac:dyDescent="0.25">
      <c r="A159" s="96"/>
      <c r="B159" s="238"/>
      <c r="C159" s="93"/>
      <c r="D159" s="92"/>
      <c r="E159" s="270"/>
      <c r="F159" s="271"/>
      <c r="G159" s="272"/>
      <c r="H159" s="279"/>
      <c r="I159" s="280"/>
      <c r="J159" s="281"/>
      <c r="K159" s="283"/>
      <c r="L159" s="273"/>
      <c r="M159" s="274"/>
      <c r="N159" s="139"/>
      <c r="O159" s="281"/>
    </row>
    <row r="160" spans="1:15" ht="17.850000000000001" customHeight="1" x14ac:dyDescent="0.25">
      <c r="A160" s="96"/>
      <c r="B160" s="238"/>
      <c r="C160" s="93"/>
      <c r="D160" s="92"/>
      <c r="E160" s="270"/>
      <c r="F160" s="271"/>
      <c r="G160" s="272"/>
      <c r="H160" s="279"/>
      <c r="I160" s="280"/>
      <c r="J160" s="281"/>
      <c r="K160" s="283"/>
      <c r="L160" s="273"/>
      <c r="M160" s="274"/>
      <c r="N160" s="139"/>
      <c r="O160" s="281"/>
    </row>
    <row r="161" spans="1:15" ht="17.850000000000001" customHeight="1" x14ac:dyDescent="0.25">
      <c r="A161" s="96"/>
      <c r="B161" s="238"/>
      <c r="C161" s="93"/>
      <c r="D161" s="92"/>
      <c r="E161" s="270"/>
      <c r="F161" s="271"/>
      <c r="G161" s="272"/>
      <c r="H161" s="279"/>
      <c r="I161" s="280"/>
      <c r="J161" s="281"/>
      <c r="K161" s="283"/>
      <c r="L161" s="273"/>
      <c r="M161" s="274"/>
      <c r="N161" s="139"/>
      <c r="O161" s="281"/>
    </row>
    <row r="162" spans="1:15" ht="17.850000000000001" customHeight="1" x14ac:dyDescent="0.25">
      <c r="A162" s="96"/>
      <c r="B162" s="238"/>
      <c r="C162" s="93"/>
      <c r="D162" s="92"/>
      <c r="E162" s="270"/>
      <c r="F162" s="271"/>
      <c r="G162" s="272"/>
      <c r="H162" s="279"/>
      <c r="I162" s="280"/>
      <c r="J162" s="281"/>
      <c r="K162" s="283"/>
      <c r="L162" s="273"/>
      <c r="M162" s="274"/>
      <c r="N162" s="139"/>
      <c r="O162" s="281"/>
    </row>
    <row r="163" spans="1:15" ht="17.850000000000001" customHeight="1" x14ac:dyDescent="0.25">
      <c r="A163" s="96"/>
      <c r="B163" s="238"/>
      <c r="C163" s="93"/>
      <c r="D163" s="92"/>
      <c r="E163" s="270"/>
      <c r="F163" s="271"/>
      <c r="G163" s="272"/>
      <c r="H163" s="279"/>
      <c r="I163" s="280"/>
      <c r="J163" s="281"/>
      <c r="K163" s="283"/>
      <c r="L163" s="273"/>
      <c r="M163" s="274"/>
      <c r="N163" s="139"/>
      <c r="O163" s="281"/>
    </row>
    <row r="164" spans="1:15" ht="17.850000000000001" customHeight="1" x14ac:dyDescent="0.25">
      <c r="A164" s="96"/>
      <c r="B164" s="238"/>
      <c r="C164" s="93"/>
      <c r="D164" s="92"/>
      <c r="E164" s="270"/>
      <c r="F164" s="271"/>
      <c r="G164" s="272"/>
      <c r="H164" s="279"/>
      <c r="I164" s="280"/>
      <c r="J164" s="281"/>
      <c r="K164" s="283"/>
      <c r="L164" s="273"/>
      <c r="M164" s="274"/>
      <c r="N164" s="139"/>
      <c r="O164" s="281"/>
    </row>
    <row r="165" spans="1:15" ht="17.850000000000001" customHeight="1" x14ac:dyDescent="0.25">
      <c r="A165" s="96"/>
      <c r="B165" s="238"/>
      <c r="C165" s="93"/>
      <c r="D165" s="92"/>
      <c r="E165" s="270"/>
      <c r="F165" s="271"/>
      <c r="G165" s="272"/>
      <c r="H165" s="279"/>
      <c r="I165" s="280"/>
      <c r="J165" s="281"/>
      <c r="K165" s="283"/>
      <c r="L165" s="273"/>
      <c r="M165" s="274"/>
      <c r="N165" s="139"/>
      <c r="O165" s="281"/>
    </row>
    <row r="166" spans="1:15" ht="17.850000000000001" customHeight="1" x14ac:dyDescent="0.25">
      <c r="A166" s="96"/>
      <c r="B166" s="238"/>
      <c r="C166" s="93"/>
      <c r="D166" s="92"/>
      <c r="E166" s="270"/>
      <c r="F166" s="271"/>
      <c r="G166" s="272"/>
      <c r="H166" s="279"/>
      <c r="I166" s="280"/>
      <c r="J166" s="281"/>
      <c r="K166" s="283"/>
      <c r="L166" s="273"/>
      <c r="M166" s="274"/>
      <c r="N166" s="139"/>
      <c r="O166" s="281"/>
    </row>
    <row r="167" spans="1:15" ht="17.850000000000001" customHeight="1" x14ac:dyDescent="0.25">
      <c r="A167" s="96"/>
      <c r="B167" s="238"/>
      <c r="C167" s="93"/>
      <c r="D167" s="92"/>
      <c r="E167" s="270"/>
      <c r="F167" s="271"/>
      <c r="G167" s="272"/>
      <c r="H167" s="279"/>
      <c r="I167" s="280"/>
      <c r="J167" s="281"/>
      <c r="K167" s="283"/>
      <c r="L167" s="273"/>
      <c r="M167" s="274"/>
      <c r="N167" s="139"/>
      <c r="O167" s="281"/>
    </row>
    <row r="168" spans="1:15" ht="17.850000000000001" customHeight="1" x14ac:dyDescent="0.25">
      <c r="A168" s="96"/>
      <c r="B168" s="238"/>
      <c r="C168" s="93"/>
      <c r="D168" s="92"/>
      <c r="E168" s="270"/>
      <c r="F168" s="271"/>
      <c r="G168" s="272"/>
      <c r="H168" s="279"/>
      <c r="I168" s="280"/>
      <c r="J168" s="281"/>
      <c r="K168" s="283"/>
      <c r="L168" s="273"/>
      <c r="M168" s="274"/>
      <c r="N168" s="139"/>
      <c r="O168" s="281"/>
    </row>
    <row r="169" spans="1:15" ht="17.850000000000001" customHeight="1" x14ac:dyDescent="0.25">
      <c r="A169" s="96"/>
      <c r="B169" s="238"/>
      <c r="C169" s="93"/>
      <c r="D169" s="92"/>
      <c r="E169" s="270"/>
      <c r="F169" s="271"/>
      <c r="G169" s="272"/>
      <c r="H169" s="279"/>
      <c r="I169" s="280"/>
      <c r="J169" s="281"/>
      <c r="K169" s="283"/>
      <c r="L169" s="273"/>
      <c r="M169" s="274"/>
      <c r="N169" s="139"/>
      <c r="O169" s="281"/>
    </row>
    <row r="170" spans="1:15" ht="17.850000000000001" customHeight="1" x14ac:dyDescent="0.25">
      <c r="A170" s="96"/>
      <c r="B170" s="238"/>
      <c r="C170" s="93"/>
      <c r="D170" s="92"/>
      <c r="E170" s="270"/>
      <c r="F170" s="271"/>
      <c r="G170" s="272"/>
      <c r="H170" s="279"/>
      <c r="I170" s="280"/>
      <c r="J170" s="281"/>
      <c r="K170" s="283"/>
      <c r="L170" s="273"/>
      <c r="M170" s="274"/>
      <c r="N170" s="139"/>
      <c r="O170" s="281"/>
    </row>
    <row r="171" spans="1:15" ht="17.850000000000001" customHeight="1" x14ac:dyDescent="0.25">
      <c r="A171" s="96"/>
      <c r="B171" s="238"/>
      <c r="C171" s="93"/>
      <c r="D171" s="92"/>
      <c r="E171" s="270"/>
      <c r="F171" s="271"/>
      <c r="G171" s="272"/>
      <c r="H171" s="279"/>
      <c r="I171" s="280"/>
      <c r="J171" s="281"/>
      <c r="K171" s="283"/>
      <c r="L171" s="273"/>
      <c r="M171" s="274"/>
      <c r="N171" s="139"/>
      <c r="O171" s="281"/>
    </row>
    <row r="172" spans="1:15" ht="17.850000000000001" customHeight="1" x14ac:dyDescent="0.25">
      <c r="A172" s="96"/>
      <c r="B172" s="238"/>
      <c r="C172" s="93"/>
      <c r="D172" s="92"/>
      <c r="E172" s="270"/>
      <c r="F172" s="271"/>
      <c r="G172" s="272"/>
      <c r="H172" s="279"/>
      <c r="I172" s="280"/>
      <c r="J172" s="281"/>
      <c r="K172" s="283"/>
      <c r="L172" s="273"/>
      <c r="M172" s="274"/>
      <c r="N172" s="139"/>
      <c r="O172" s="281"/>
    </row>
    <row r="173" spans="1:15" ht="17.850000000000001" customHeight="1" x14ac:dyDescent="0.25">
      <c r="A173" s="96"/>
      <c r="B173" s="238"/>
      <c r="C173" s="93"/>
      <c r="D173" s="92"/>
      <c r="E173" s="270"/>
      <c r="F173" s="271"/>
      <c r="G173" s="272"/>
      <c r="H173" s="279"/>
      <c r="I173" s="280"/>
      <c r="J173" s="281"/>
      <c r="K173" s="283"/>
      <c r="L173" s="273"/>
      <c r="M173" s="274"/>
      <c r="N173" s="139"/>
      <c r="O173" s="281"/>
    </row>
    <row r="174" spans="1:15" ht="17.850000000000001" customHeight="1" x14ac:dyDescent="0.25">
      <c r="A174" s="96"/>
      <c r="B174" s="238"/>
      <c r="C174" s="93"/>
      <c r="D174" s="92"/>
      <c r="E174" s="270"/>
      <c r="F174" s="271"/>
      <c r="G174" s="272"/>
      <c r="H174" s="279"/>
      <c r="I174" s="280"/>
      <c r="J174" s="281"/>
      <c r="K174" s="283"/>
      <c r="L174" s="273"/>
      <c r="M174" s="274"/>
      <c r="N174" s="139"/>
      <c r="O174" s="281"/>
    </row>
    <row r="175" spans="1:15" ht="17.850000000000001" customHeight="1" x14ac:dyDescent="0.25">
      <c r="A175" s="96"/>
      <c r="B175" s="238"/>
      <c r="C175" s="93"/>
      <c r="D175" s="92"/>
      <c r="E175" s="270"/>
      <c r="F175" s="271"/>
      <c r="G175" s="272"/>
      <c r="H175" s="279"/>
      <c r="I175" s="280"/>
      <c r="J175" s="281"/>
      <c r="K175" s="283"/>
      <c r="L175" s="273"/>
      <c r="M175" s="274"/>
      <c r="N175" s="139"/>
      <c r="O175" s="281"/>
    </row>
    <row r="176" spans="1:15" ht="17.850000000000001" customHeight="1" x14ac:dyDescent="0.25">
      <c r="A176" s="96"/>
      <c r="B176" s="238"/>
      <c r="C176" s="93"/>
      <c r="D176" s="92"/>
      <c r="E176" s="270"/>
      <c r="F176" s="271"/>
      <c r="G176" s="272"/>
      <c r="H176" s="279"/>
      <c r="I176" s="280"/>
      <c r="J176" s="281"/>
      <c r="K176" s="283"/>
      <c r="L176" s="273"/>
      <c r="M176" s="274"/>
      <c r="N176" s="139"/>
      <c r="O176" s="281"/>
    </row>
    <row r="177" spans="1:15" ht="17.850000000000001" customHeight="1" x14ac:dyDescent="0.25">
      <c r="A177" s="96"/>
      <c r="B177" s="238"/>
      <c r="C177" s="93"/>
      <c r="D177" s="92"/>
      <c r="E177" s="270"/>
      <c r="F177" s="271"/>
      <c r="G177" s="272"/>
      <c r="H177" s="279"/>
      <c r="I177" s="280"/>
      <c r="J177" s="281"/>
      <c r="K177" s="283"/>
      <c r="L177" s="273"/>
      <c r="M177" s="274"/>
      <c r="N177" s="139"/>
      <c r="O177" s="281"/>
    </row>
    <row r="178" spans="1:15" ht="17.850000000000001" customHeight="1" x14ac:dyDescent="0.25">
      <c r="A178" s="96"/>
      <c r="B178" s="238"/>
      <c r="C178" s="93"/>
      <c r="D178" s="92"/>
      <c r="E178" s="270"/>
      <c r="F178" s="271"/>
      <c r="G178" s="272"/>
      <c r="H178" s="279"/>
      <c r="I178" s="280"/>
      <c r="J178" s="281"/>
      <c r="K178" s="283"/>
      <c r="L178" s="273"/>
      <c r="M178" s="274"/>
      <c r="N178" s="139"/>
      <c r="O178" s="281"/>
    </row>
    <row r="179" spans="1:15" ht="17.850000000000001" customHeight="1" x14ac:dyDescent="0.25">
      <c r="A179" s="96"/>
      <c r="B179" s="238"/>
      <c r="C179" s="93"/>
      <c r="D179" s="92"/>
      <c r="E179" s="270"/>
      <c r="F179" s="271"/>
      <c r="G179" s="272"/>
      <c r="H179" s="279"/>
      <c r="I179" s="280"/>
      <c r="J179" s="281"/>
      <c r="K179" s="283"/>
      <c r="L179" s="273"/>
      <c r="M179" s="274"/>
      <c r="N179" s="139"/>
      <c r="O179" s="281"/>
    </row>
    <row r="180" spans="1:15" ht="17.850000000000001" customHeight="1" x14ac:dyDescent="0.25">
      <c r="A180" s="96"/>
      <c r="B180" s="238"/>
      <c r="C180" s="93"/>
      <c r="D180" s="92"/>
      <c r="E180" s="270"/>
      <c r="F180" s="271"/>
      <c r="G180" s="272"/>
      <c r="H180" s="279"/>
      <c r="I180" s="280"/>
      <c r="J180" s="281"/>
      <c r="K180" s="283"/>
      <c r="L180" s="273"/>
      <c r="M180" s="274"/>
      <c r="N180" s="139"/>
      <c r="O180" s="281"/>
    </row>
    <row r="181" spans="1:15" ht="17.850000000000001" customHeight="1" x14ac:dyDescent="0.25">
      <c r="A181" s="96"/>
      <c r="B181" s="238"/>
      <c r="C181" s="93"/>
      <c r="D181" s="92"/>
      <c r="E181" s="270"/>
      <c r="F181" s="271"/>
      <c r="G181" s="272"/>
      <c r="H181" s="279"/>
      <c r="I181" s="280"/>
      <c r="J181" s="281"/>
      <c r="K181" s="283"/>
      <c r="L181" s="273"/>
      <c r="M181" s="274"/>
      <c r="N181" s="139"/>
      <c r="O181" s="281"/>
    </row>
    <row r="182" spans="1:15" ht="17.850000000000001" customHeight="1" x14ac:dyDescent="0.25">
      <c r="A182" s="96"/>
      <c r="B182" s="238"/>
      <c r="C182" s="93"/>
      <c r="D182" s="92"/>
      <c r="E182" s="270"/>
      <c r="F182" s="271"/>
      <c r="G182" s="272"/>
      <c r="H182" s="279"/>
      <c r="I182" s="280"/>
      <c r="J182" s="281"/>
      <c r="K182" s="283"/>
      <c r="L182" s="273"/>
      <c r="M182" s="274"/>
      <c r="N182" s="139"/>
      <c r="O182" s="281"/>
    </row>
    <row r="183" spans="1:15" ht="17.850000000000001" customHeight="1" x14ac:dyDescent="0.25">
      <c r="A183" s="96"/>
      <c r="B183" s="238"/>
      <c r="C183" s="93"/>
      <c r="D183" s="92"/>
      <c r="E183" s="270"/>
      <c r="F183" s="271"/>
      <c r="G183" s="272"/>
      <c r="H183" s="279"/>
      <c r="I183" s="280"/>
      <c r="J183" s="281"/>
      <c r="K183" s="283"/>
      <c r="L183" s="273"/>
      <c r="M183" s="274"/>
      <c r="N183" s="139"/>
      <c r="O183" s="281"/>
    </row>
    <row r="184" spans="1:15" ht="17.850000000000001" customHeight="1" x14ac:dyDescent="0.25">
      <c r="A184" s="96"/>
      <c r="B184" s="238"/>
      <c r="C184" s="93"/>
      <c r="D184" s="92"/>
      <c r="E184" s="270"/>
      <c r="F184" s="271"/>
      <c r="G184" s="272"/>
      <c r="H184" s="279"/>
      <c r="I184" s="280"/>
      <c r="J184" s="281"/>
      <c r="K184" s="283"/>
      <c r="L184" s="273"/>
      <c r="M184" s="274"/>
      <c r="N184" s="139"/>
      <c r="O184" s="281"/>
    </row>
    <row r="185" spans="1:15" ht="17.850000000000001" customHeight="1" x14ac:dyDescent="0.25">
      <c r="A185" s="96"/>
      <c r="B185" s="238"/>
      <c r="C185" s="93"/>
      <c r="D185" s="92"/>
      <c r="E185" s="270"/>
      <c r="F185" s="271"/>
      <c r="G185" s="272"/>
      <c r="H185" s="279"/>
      <c r="I185" s="280"/>
      <c r="J185" s="281"/>
      <c r="K185" s="283"/>
      <c r="L185" s="273"/>
      <c r="M185" s="274"/>
      <c r="N185" s="139"/>
      <c r="O185" s="281"/>
    </row>
    <row r="186" spans="1:15" ht="17.850000000000001" customHeight="1" x14ac:dyDescent="0.25">
      <c r="A186" s="96"/>
      <c r="B186" s="238"/>
      <c r="C186" s="93"/>
      <c r="D186" s="92"/>
      <c r="E186" s="270"/>
      <c r="F186" s="271"/>
      <c r="G186" s="272"/>
      <c r="H186" s="279"/>
      <c r="I186" s="280"/>
      <c r="J186" s="281"/>
      <c r="K186" s="283"/>
      <c r="L186" s="273"/>
      <c r="M186" s="274"/>
      <c r="N186" s="139"/>
      <c r="O186" s="281"/>
    </row>
    <row r="187" spans="1:15" ht="17.850000000000001" customHeight="1" x14ac:dyDescent="0.25">
      <c r="A187" s="96"/>
      <c r="B187" s="238"/>
      <c r="C187" s="93"/>
      <c r="D187" s="92"/>
      <c r="E187" s="270"/>
      <c r="F187" s="271"/>
      <c r="G187" s="272"/>
      <c r="H187" s="279"/>
      <c r="I187" s="280"/>
      <c r="J187" s="281"/>
      <c r="K187" s="283"/>
      <c r="L187" s="273"/>
      <c r="M187" s="274"/>
      <c r="N187" s="139"/>
      <c r="O187" s="281"/>
    </row>
    <row r="188" spans="1:15" ht="17.850000000000001" customHeight="1" x14ac:dyDescent="0.25">
      <c r="A188" s="96"/>
      <c r="B188" s="238"/>
      <c r="C188" s="93"/>
      <c r="D188" s="92"/>
      <c r="E188" s="270"/>
      <c r="F188" s="271"/>
      <c r="G188" s="272"/>
      <c r="H188" s="279"/>
      <c r="I188" s="280"/>
      <c r="J188" s="281"/>
      <c r="K188" s="283"/>
      <c r="L188" s="273"/>
      <c r="M188" s="274"/>
      <c r="N188" s="139"/>
      <c r="O188" s="281"/>
    </row>
    <row r="189" spans="1:15" ht="17.850000000000001" customHeight="1" x14ac:dyDescent="0.25">
      <c r="A189" s="96"/>
      <c r="B189" s="238"/>
      <c r="C189" s="93"/>
      <c r="D189" s="92"/>
      <c r="E189" s="270"/>
      <c r="F189" s="271"/>
      <c r="G189" s="272"/>
      <c r="H189" s="279"/>
      <c r="I189" s="280"/>
      <c r="J189" s="281"/>
      <c r="K189" s="283"/>
      <c r="L189" s="273"/>
      <c r="M189" s="274"/>
      <c r="N189" s="139"/>
      <c r="O189" s="281"/>
    </row>
    <row r="190" spans="1:15" ht="17.850000000000001" customHeight="1" x14ac:dyDescent="0.25">
      <c r="A190" s="96"/>
      <c r="B190" s="238"/>
      <c r="C190" s="93"/>
      <c r="D190" s="92"/>
      <c r="E190" s="270"/>
      <c r="F190" s="271"/>
      <c r="G190" s="272"/>
      <c r="H190" s="279"/>
      <c r="I190" s="280"/>
      <c r="J190" s="281"/>
      <c r="K190" s="283"/>
      <c r="L190" s="273"/>
      <c r="M190" s="274"/>
      <c r="N190" s="139"/>
      <c r="O190" s="281"/>
    </row>
    <row r="191" spans="1:15" ht="17.850000000000001" customHeight="1" x14ac:dyDescent="0.25">
      <c r="A191" s="96"/>
      <c r="B191" s="238"/>
      <c r="C191" s="93"/>
      <c r="D191" s="92"/>
      <c r="E191" s="270"/>
      <c r="F191" s="271"/>
      <c r="G191" s="272"/>
      <c r="H191" s="279"/>
      <c r="I191" s="280"/>
      <c r="J191" s="281"/>
      <c r="K191" s="283"/>
      <c r="L191" s="273"/>
      <c r="M191" s="274"/>
      <c r="N191" s="139"/>
      <c r="O191" s="281"/>
    </row>
    <row r="192" spans="1:15" ht="17.850000000000001" customHeight="1" x14ac:dyDescent="0.25">
      <c r="A192" s="96"/>
      <c r="B192" s="238"/>
      <c r="C192" s="93"/>
      <c r="D192" s="92"/>
      <c r="E192" s="270"/>
      <c r="F192" s="271"/>
      <c r="G192" s="272"/>
      <c r="H192" s="279"/>
      <c r="I192" s="280"/>
      <c r="J192" s="281"/>
      <c r="K192" s="283"/>
      <c r="L192" s="273"/>
      <c r="M192" s="274"/>
      <c r="N192" s="139"/>
      <c r="O192" s="281"/>
    </row>
    <row r="193" spans="1:15" ht="17.850000000000001" customHeight="1" x14ac:dyDescent="0.25">
      <c r="A193" s="96"/>
      <c r="B193" s="238"/>
      <c r="C193" s="93"/>
      <c r="D193" s="92"/>
      <c r="E193" s="270"/>
      <c r="F193" s="271"/>
      <c r="G193" s="272"/>
      <c r="H193" s="279"/>
      <c r="I193" s="280"/>
      <c r="J193" s="281"/>
      <c r="K193" s="283"/>
      <c r="L193" s="273"/>
      <c r="M193" s="274"/>
      <c r="N193" s="139"/>
      <c r="O193" s="281"/>
    </row>
    <row r="194" spans="1:15" ht="17.850000000000001" customHeight="1" x14ac:dyDescent="0.25">
      <c r="A194" s="96"/>
      <c r="B194" s="238"/>
      <c r="C194" s="93"/>
      <c r="D194" s="92"/>
      <c r="E194" s="270"/>
      <c r="F194" s="271"/>
      <c r="G194" s="272"/>
      <c r="H194" s="279"/>
      <c r="I194" s="280"/>
      <c r="J194" s="281"/>
      <c r="K194" s="283"/>
      <c r="L194" s="273"/>
      <c r="M194" s="274"/>
      <c r="N194" s="139"/>
      <c r="O194" s="281"/>
    </row>
    <row r="195" spans="1:15" ht="17.850000000000001" customHeight="1" x14ac:dyDescent="0.25">
      <c r="A195" s="96"/>
      <c r="B195" s="238"/>
      <c r="C195" s="93"/>
      <c r="D195" s="92"/>
      <c r="E195" s="270"/>
      <c r="F195" s="271"/>
      <c r="G195" s="272"/>
      <c r="H195" s="279"/>
      <c r="I195" s="280"/>
      <c r="J195" s="281"/>
      <c r="K195" s="283"/>
      <c r="L195" s="273"/>
      <c r="M195" s="274"/>
      <c r="N195" s="139"/>
      <c r="O195" s="281"/>
    </row>
    <row r="196" spans="1:15" ht="17.850000000000001" customHeight="1" x14ac:dyDescent="0.25">
      <c r="A196" s="96"/>
      <c r="B196" s="238"/>
      <c r="C196" s="93"/>
      <c r="D196" s="92"/>
      <c r="E196" s="270"/>
      <c r="F196" s="271"/>
      <c r="G196" s="272"/>
      <c r="H196" s="279"/>
      <c r="I196" s="280"/>
      <c r="J196" s="281"/>
      <c r="K196" s="283"/>
      <c r="L196" s="273"/>
      <c r="M196" s="274"/>
      <c r="N196" s="139"/>
      <c r="O196" s="281"/>
    </row>
    <row r="197" spans="1:15" ht="17.850000000000001" customHeight="1" x14ac:dyDescent="0.25">
      <c r="A197" s="96"/>
      <c r="B197" s="238"/>
      <c r="C197" s="93"/>
      <c r="D197" s="92"/>
      <c r="E197" s="270"/>
      <c r="F197" s="271"/>
      <c r="G197" s="272"/>
      <c r="H197" s="279"/>
      <c r="I197" s="280"/>
      <c r="J197" s="281"/>
      <c r="K197" s="283"/>
      <c r="L197" s="273"/>
      <c r="M197" s="274"/>
      <c r="N197" s="139"/>
      <c r="O197" s="281"/>
    </row>
    <row r="198" spans="1:15" ht="17.850000000000001" customHeight="1" x14ac:dyDescent="0.25">
      <c r="A198" s="96"/>
      <c r="B198" s="238"/>
      <c r="C198" s="93"/>
      <c r="D198" s="92"/>
      <c r="E198" s="270"/>
      <c r="F198" s="271"/>
      <c r="G198" s="272"/>
      <c r="H198" s="279"/>
      <c r="I198" s="280"/>
      <c r="J198" s="281"/>
      <c r="K198" s="283"/>
      <c r="L198" s="273"/>
      <c r="M198" s="274"/>
      <c r="N198" s="139"/>
      <c r="O198" s="281"/>
    </row>
    <row r="199" spans="1:15" ht="17.850000000000001" customHeight="1" x14ac:dyDescent="0.25">
      <c r="A199" s="96"/>
      <c r="B199" s="238"/>
      <c r="C199" s="93"/>
      <c r="D199" s="92"/>
      <c r="E199" s="270"/>
      <c r="F199" s="271"/>
      <c r="G199" s="272"/>
      <c r="H199" s="279"/>
      <c r="I199" s="280"/>
      <c r="J199" s="281"/>
      <c r="K199" s="283"/>
      <c r="L199" s="273"/>
      <c r="M199" s="274"/>
      <c r="N199" s="139"/>
      <c r="O199" s="281"/>
    </row>
    <row r="200" spans="1:15" ht="17.850000000000001" customHeight="1" x14ac:dyDescent="0.25">
      <c r="A200" s="96"/>
      <c r="B200" s="238"/>
      <c r="C200" s="93"/>
      <c r="D200" s="92"/>
      <c r="E200" s="270"/>
      <c r="F200" s="271"/>
      <c r="G200" s="272"/>
      <c r="H200" s="279"/>
      <c r="I200" s="280"/>
      <c r="J200" s="281"/>
      <c r="K200" s="283"/>
      <c r="L200" s="273"/>
      <c r="M200" s="274"/>
      <c r="N200" s="139"/>
      <c r="O200" s="281"/>
    </row>
    <row r="201" spans="1:15" ht="17.850000000000001" customHeight="1" x14ac:dyDescent="0.25">
      <c r="A201" s="96"/>
      <c r="B201" s="238"/>
      <c r="C201" s="93"/>
      <c r="D201" s="92"/>
      <c r="E201" s="270"/>
      <c r="F201" s="271"/>
      <c r="G201" s="272"/>
      <c r="H201" s="279"/>
      <c r="I201" s="280"/>
      <c r="J201" s="281"/>
      <c r="K201" s="283"/>
      <c r="L201" s="273"/>
      <c r="M201" s="274"/>
      <c r="N201" s="139"/>
      <c r="O201" s="281"/>
    </row>
    <row r="202" spans="1:15" ht="17.850000000000001" customHeight="1" x14ac:dyDescent="0.25">
      <c r="A202" s="96"/>
      <c r="B202" s="238"/>
      <c r="C202" s="93"/>
      <c r="D202" s="92"/>
      <c r="E202" s="270"/>
      <c r="F202" s="271"/>
      <c r="G202" s="272"/>
      <c r="H202" s="279"/>
      <c r="I202" s="280"/>
      <c r="J202" s="281"/>
      <c r="K202" s="283"/>
      <c r="L202" s="273"/>
      <c r="M202" s="274"/>
      <c r="N202" s="139"/>
      <c r="O202" s="281"/>
    </row>
    <row r="203" spans="1:15" ht="17.850000000000001" customHeight="1" x14ac:dyDescent="0.25">
      <c r="A203" s="96"/>
      <c r="B203" s="238"/>
      <c r="C203" s="93"/>
      <c r="D203" s="92"/>
      <c r="E203" s="270"/>
      <c r="F203" s="271"/>
      <c r="G203" s="272"/>
      <c r="H203" s="279"/>
      <c r="I203" s="280"/>
      <c r="J203" s="281"/>
      <c r="K203" s="283"/>
      <c r="L203" s="273"/>
      <c r="M203" s="274"/>
      <c r="N203" s="139"/>
      <c r="O203" s="281"/>
    </row>
    <row r="204" spans="1:15" ht="17.850000000000001" customHeight="1" x14ac:dyDescent="0.25">
      <c r="A204" s="96"/>
      <c r="B204" s="238"/>
      <c r="C204" s="93"/>
      <c r="D204" s="92"/>
      <c r="E204" s="270"/>
      <c r="F204" s="271"/>
      <c r="G204" s="272"/>
      <c r="H204" s="279"/>
      <c r="I204" s="280"/>
      <c r="J204" s="281"/>
      <c r="K204" s="283"/>
      <c r="L204" s="273"/>
      <c r="M204" s="274"/>
      <c r="N204" s="139"/>
      <c r="O204" s="281"/>
    </row>
    <row r="205" spans="1:15" ht="17.850000000000001" customHeight="1" x14ac:dyDescent="0.25">
      <c r="A205" s="96"/>
      <c r="B205" s="238"/>
      <c r="C205" s="93"/>
      <c r="D205" s="92"/>
      <c r="E205" s="270"/>
      <c r="F205" s="271"/>
      <c r="G205" s="272"/>
      <c r="H205" s="279"/>
      <c r="I205" s="280"/>
      <c r="J205" s="281"/>
      <c r="K205" s="283"/>
      <c r="L205" s="273"/>
      <c r="M205" s="274"/>
      <c r="N205" s="139"/>
      <c r="O205" s="281"/>
    </row>
    <row r="206" spans="1:15" ht="17.850000000000001" customHeight="1" x14ac:dyDescent="0.25">
      <c r="A206" s="96"/>
      <c r="B206" s="238"/>
      <c r="C206" s="93"/>
      <c r="D206" s="92"/>
      <c r="E206" s="270"/>
      <c r="F206" s="271"/>
      <c r="G206" s="272"/>
      <c r="H206" s="279"/>
      <c r="I206" s="280"/>
      <c r="J206" s="281"/>
      <c r="K206" s="283"/>
      <c r="L206" s="273"/>
      <c r="M206" s="274"/>
      <c r="N206" s="139"/>
      <c r="O206" s="281"/>
    </row>
    <row r="207" spans="1:15" ht="17.850000000000001" customHeight="1" x14ac:dyDescent="0.25">
      <c r="A207" s="96"/>
      <c r="B207" s="238"/>
      <c r="C207" s="93"/>
      <c r="D207" s="92"/>
      <c r="E207" s="270"/>
      <c r="F207" s="271"/>
      <c r="G207" s="272"/>
      <c r="H207" s="279"/>
      <c r="I207" s="280"/>
      <c r="J207" s="281"/>
      <c r="K207" s="283"/>
      <c r="L207" s="273"/>
      <c r="M207" s="274"/>
      <c r="N207" s="139"/>
      <c r="O207" s="281"/>
    </row>
    <row r="208" spans="1:15" ht="17.850000000000001" customHeight="1" x14ac:dyDescent="0.25">
      <c r="A208" s="96"/>
      <c r="B208" s="238"/>
      <c r="C208" s="93"/>
      <c r="D208" s="92"/>
      <c r="E208" s="270"/>
      <c r="F208" s="271"/>
      <c r="G208" s="272"/>
      <c r="H208" s="279"/>
      <c r="I208" s="280"/>
      <c r="J208" s="281"/>
      <c r="K208" s="283"/>
      <c r="L208" s="273"/>
      <c r="M208" s="274"/>
      <c r="N208" s="139"/>
      <c r="O208" s="281"/>
    </row>
    <row r="209" spans="1:15" ht="17.850000000000001" customHeight="1" x14ac:dyDescent="0.25">
      <c r="A209" s="96"/>
      <c r="B209" s="238"/>
      <c r="C209" s="93"/>
      <c r="D209" s="92"/>
      <c r="E209" s="270"/>
      <c r="F209" s="271"/>
      <c r="G209" s="272"/>
      <c r="H209" s="279"/>
      <c r="I209" s="280"/>
      <c r="J209" s="281"/>
      <c r="K209" s="283"/>
      <c r="L209" s="273"/>
      <c r="M209" s="274"/>
      <c r="N209" s="139"/>
      <c r="O209" s="281"/>
    </row>
    <row r="210" spans="1:15" ht="17.850000000000001" customHeight="1" x14ac:dyDescent="0.25">
      <c r="A210" s="96"/>
      <c r="B210" s="238"/>
      <c r="C210" s="93"/>
      <c r="D210" s="92"/>
      <c r="E210" s="270"/>
      <c r="F210" s="271"/>
      <c r="G210" s="272"/>
      <c r="H210" s="279"/>
      <c r="I210" s="280"/>
      <c r="J210" s="281"/>
      <c r="K210" s="283"/>
      <c r="L210" s="273"/>
      <c r="M210" s="274"/>
      <c r="N210" s="139"/>
      <c r="O210" s="281"/>
    </row>
    <row r="211" spans="1:15" ht="17.850000000000001" customHeight="1" x14ac:dyDescent="0.25">
      <c r="A211" s="96"/>
      <c r="B211" s="238"/>
      <c r="C211" s="93"/>
      <c r="D211" s="92"/>
      <c r="E211" s="270"/>
      <c r="F211" s="271"/>
      <c r="G211" s="272"/>
      <c r="H211" s="279"/>
      <c r="I211" s="280"/>
      <c r="J211" s="281"/>
      <c r="K211" s="283"/>
      <c r="L211" s="273"/>
      <c r="M211" s="274"/>
      <c r="N211" s="139"/>
      <c r="O211" s="281"/>
    </row>
    <row r="212" spans="1:15" ht="17.850000000000001" customHeight="1" x14ac:dyDescent="0.25">
      <c r="A212" s="96"/>
      <c r="B212" s="238"/>
      <c r="C212" s="93"/>
      <c r="D212" s="92"/>
      <c r="E212" s="270"/>
      <c r="F212" s="271"/>
      <c r="G212" s="272"/>
      <c r="H212" s="279"/>
      <c r="I212" s="280"/>
      <c r="J212" s="281"/>
      <c r="K212" s="283"/>
      <c r="L212" s="273"/>
      <c r="M212" s="274"/>
      <c r="N212" s="139"/>
      <c r="O212" s="281"/>
    </row>
    <row r="213" spans="1:15" ht="17.850000000000001" customHeight="1" x14ac:dyDescent="0.25">
      <c r="A213" s="96"/>
      <c r="B213" s="238"/>
      <c r="C213" s="93"/>
      <c r="D213" s="92"/>
      <c r="E213" s="270"/>
      <c r="F213" s="271"/>
      <c r="G213" s="272"/>
      <c r="H213" s="279"/>
      <c r="I213" s="280"/>
      <c r="J213" s="281"/>
      <c r="K213" s="283"/>
      <c r="L213" s="273"/>
      <c r="M213" s="274"/>
      <c r="N213" s="139"/>
      <c r="O213" s="281"/>
    </row>
    <row r="214" spans="1:15" ht="17.850000000000001" customHeight="1" x14ac:dyDescent="0.25">
      <c r="A214" s="96"/>
      <c r="B214" s="238"/>
      <c r="C214" s="93"/>
      <c r="D214" s="92"/>
      <c r="E214" s="270"/>
      <c r="F214" s="271"/>
      <c r="G214" s="272"/>
      <c r="H214" s="279"/>
      <c r="I214" s="280"/>
      <c r="J214" s="281"/>
      <c r="K214" s="283"/>
      <c r="L214" s="273"/>
      <c r="M214" s="274"/>
      <c r="N214" s="139"/>
      <c r="O214" s="281"/>
    </row>
    <row r="215" spans="1:15" ht="17.850000000000001" customHeight="1" x14ac:dyDescent="0.25">
      <c r="A215" s="96"/>
      <c r="B215" s="238"/>
      <c r="C215" s="93"/>
      <c r="D215" s="92"/>
      <c r="E215" s="270"/>
      <c r="F215" s="271"/>
      <c r="G215" s="272"/>
      <c r="H215" s="279"/>
      <c r="I215" s="280"/>
      <c r="J215" s="281"/>
      <c r="K215" s="283"/>
      <c r="L215" s="273"/>
      <c r="M215" s="274"/>
      <c r="N215" s="139"/>
      <c r="O215" s="281"/>
    </row>
    <row r="216" spans="1:15" ht="17.850000000000001" customHeight="1" x14ac:dyDescent="0.25">
      <c r="A216" s="96"/>
      <c r="B216" s="238"/>
      <c r="C216" s="93"/>
      <c r="D216" s="92"/>
      <c r="E216" s="270"/>
      <c r="F216" s="271"/>
      <c r="G216" s="272"/>
      <c r="H216" s="279"/>
      <c r="I216" s="280"/>
      <c r="J216" s="281"/>
      <c r="K216" s="283"/>
      <c r="L216" s="273"/>
      <c r="M216" s="274"/>
      <c r="N216" s="139"/>
      <c r="O216" s="281"/>
    </row>
    <row r="217" spans="1:15" ht="17.850000000000001" customHeight="1" x14ac:dyDescent="0.25">
      <c r="A217" s="96"/>
      <c r="B217" s="238"/>
      <c r="C217" s="93"/>
      <c r="D217" s="92"/>
      <c r="E217" s="270"/>
      <c r="F217" s="271"/>
      <c r="G217" s="272"/>
      <c r="H217" s="279"/>
      <c r="I217" s="280"/>
      <c r="J217" s="281"/>
      <c r="K217" s="283"/>
      <c r="L217" s="273"/>
      <c r="M217" s="274"/>
      <c r="N217" s="139"/>
      <c r="O217" s="281"/>
    </row>
    <row r="218" spans="1:15" ht="17.850000000000001" customHeight="1" x14ac:dyDescent="0.25">
      <c r="A218" s="96"/>
      <c r="B218" s="238"/>
      <c r="C218" s="93"/>
      <c r="D218" s="92"/>
      <c r="E218" s="270"/>
      <c r="F218" s="271"/>
      <c r="G218" s="272"/>
      <c r="H218" s="279"/>
      <c r="I218" s="280"/>
      <c r="J218" s="281"/>
      <c r="K218" s="283"/>
      <c r="L218" s="273"/>
      <c r="M218" s="274"/>
      <c r="N218" s="139"/>
      <c r="O218" s="281"/>
    </row>
    <row r="219" spans="1:15" ht="17.850000000000001" customHeight="1" x14ac:dyDescent="0.25">
      <c r="A219" s="96"/>
      <c r="B219" s="238"/>
      <c r="C219" s="93"/>
      <c r="D219" s="92"/>
      <c r="E219" s="270"/>
      <c r="F219" s="271"/>
      <c r="G219" s="272"/>
      <c r="H219" s="279"/>
      <c r="I219" s="280"/>
      <c r="J219" s="281"/>
      <c r="K219" s="283"/>
      <c r="L219" s="273"/>
      <c r="M219" s="274"/>
      <c r="N219" s="139"/>
      <c r="O219" s="281"/>
    </row>
    <row r="220" spans="1:15" ht="17.850000000000001" customHeight="1" x14ac:dyDescent="0.25">
      <c r="A220" s="96"/>
      <c r="B220" s="238"/>
      <c r="C220" s="93"/>
      <c r="D220" s="92"/>
      <c r="E220" s="270"/>
      <c r="F220" s="271"/>
      <c r="G220" s="272"/>
      <c r="H220" s="279"/>
      <c r="I220" s="280"/>
      <c r="J220" s="281"/>
      <c r="K220" s="283"/>
      <c r="L220" s="273"/>
      <c r="M220" s="274"/>
      <c r="N220" s="139"/>
      <c r="O220" s="281"/>
    </row>
    <row r="221" spans="1:15" ht="17.850000000000001" customHeight="1" x14ac:dyDescent="0.25">
      <c r="A221" s="96"/>
      <c r="B221" s="238"/>
      <c r="C221" s="93"/>
      <c r="D221" s="92"/>
      <c r="E221" s="270"/>
      <c r="F221" s="271"/>
      <c r="G221" s="272"/>
      <c r="H221" s="279"/>
      <c r="I221" s="280"/>
      <c r="J221" s="281"/>
      <c r="K221" s="283"/>
      <c r="L221" s="273"/>
      <c r="M221" s="274"/>
      <c r="N221" s="139"/>
      <c r="O221" s="281"/>
    </row>
    <row r="222" spans="1:15" ht="17.850000000000001" customHeight="1" x14ac:dyDescent="0.25">
      <c r="A222" s="96"/>
      <c r="B222" s="238"/>
      <c r="C222" s="93"/>
      <c r="D222" s="92"/>
      <c r="E222" s="270"/>
      <c r="F222" s="271"/>
      <c r="G222" s="272"/>
      <c r="H222" s="279"/>
      <c r="I222" s="280"/>
      <c r="J222" s="281"/>
      <c r="K222" s="283"/>
      <c r="L222" s="273"/>
      <c r="M222" s="274"/>
      <c r="N222" s="139"/>
      <c r="O222" s="281"/>
    </row>
    <row r="223" spans="1:15" ht="17.850000000000001" customHeight="1" x14ac:dyDescent="0.25">
      <c r="A223" s="96"/>
      <c r="B223" s="238"/>
      <c r="C223" s="93"/>
      <c r="D223" s="92"/>
      <c r="E223" s="270"/>
      <c r="F223" s="271"/>
      <c r="G223" s="272"/>
      <c r="H223" s="279"/>
      <c r="I223" s="280"/>
      <c r="J223" s="281"/>
      <c r="K223" s="283"/>
      <c r="L223" s="273"/>
      <c r="M223" s="274"/>
      <c r="N223" s="139"/>
      <c r="O223" s="281"/>
    </row>
    <row r="224" spans="1:15" ht="17.850000000000001" customHeight="1" x14ac:dyDescent="0.25">
      <c r="A224" s="96"/>
      <c r="B224" s="238"/>
      <c r="C224" s="93"/>
      <c r="D224" s="92"/>
      <c r="E224" s="270"/>
      <c r="F224" s="271"/>
      <c r="G224" s="272"/>
      <c r="H224" s="279"/>
      <c r="I224" s="280"/>
      <c r="J224" s="281"/>
      <c r="K224" s="283"/>
      <c r="L224" s="273"/>
      <c r="M224" s="274"/>
      <c r="N224" s="139"/>
      <c r="O224" s="281"/>
    </row>
    <row r="225" spans="1:15" ht="17.850000000000001" customHeight="1" x14ac:dyDescent="0.25">
      <c r="A225" s="96"/>
      <c r="B225" s="238"/>
      <c r="C225" s="93"/>
      <c r="D225" s="92"/>
      <c r="E225" s="270"/>
      <c r="F225" s="271"/>
      <c r="G225" s="272"/>
      <c r="H225" s="279"/>
      <c r="I225" s="280"/>
      <c r="J225" s="281"/>
      <c r="K225" s="283"/>
      <c r="L225" s="273"/>
      <c r="M225" s="274"/>
      <c r="N225" s="139"/>
      <c r="O225" s="281"/>
    </row>
    <row r="226" spans="1:15" ht="17.850000000000001" customHeight="1" x14ac:dyDescent="0.25">
      <c r="A226" s="96"/>
      <c r="B226" s="238"/>
      <c r="C226" s="93"/>
      <c r="D226" s="92"/>
      <c r="E226" s="270"/>
      <c r="F226" s="271"/>
      <c r="G226" s="272"/>
      <c r="H226" s="279"/>
      <c r="I226" s="280"/>
      <c r="J226" s="281"/>
      <c r="K226" s="283"/>
      <c r="L226" s="273"/>
      <c r="M226" s="274"/>
      <c r="N226" s="139"/>
      <c r="O226" s="281"/>
    </row>
    <row r="227" spans="1:15" ht="17.850000000000001" customHeight="1" x14ac:dyDescent="0.25">
      <c r="A227" s="96"/>
      <c r="B227" s="238"/>
      <c r="C227" s="93"/>
      <c r="D227" s="92"/>
      <c r="E227" s="270"/>
      <c r="F227" s="271"/>
      <c r="G227" s="272"/>
      <c r="H227" s="279"/>
      <c r="I227" s="280"/>
      <c r="J227" s="281"/>
      <c r="K227" s="283"/>
      <c r="L227" s="273"/>
      <c r="M227" s="274"/>
      <c r="N227" s="139"/>
      <c r="O227" s="281"/>
    </row>
    <row r="228" spans="1:15" ht="17.850000000000001" customHeight="1" x14ac:dyDescent="0.25">
      <c r="A228" s="96"/>
      <c r="B228" s="238"/>
      <c r="C228" s="93"/>
      <c r="D228" s="92"/>
      <c r="E228" s="270"/>
      <c r="F228" s="271"/>
      <c r="G228" s="272"/>
      <c r="H228" s="279"/>
      <c r="I228" s="280"/>
      <c r="J228" s="281"/>
      <c r="K228" s="283"/>
      <c r="L228" s="273"/>
      <c r="M228" s="274"/>
      <c r="N228" s="139"/>
      <c r="O228" s="281"/>
    </row>
    <row r="229" spans="1:15" ht="17.850000000000001" customHeight="1" x14ac:dyDescent="0.25">
      <c r="A229" s="96"/>
      <c r="B229" s="238"/>
      <c r="C229" s="93"/>
      <c r="D229" s="92"/>
      <c r="E229" s="270"/>
      <c r="F229" s="271"/>
      <c r="G229" s="272"/>
      <c r="H229" s="279"/>
      <c r="I229" s="280"/>
      <c r="J229" s="281"/>
      <c r="K229" s="283"/>
      <c r="L229" s="273"/>
      <c r="M229" s="274"/>
      <c r="N229" s="139"/>
      <c r="O229" s="281"/>
    </row>
    <row r="230" spans="1:15" ht="17.850000000000001" customHeight="1" x14ac:dyDescent="0.25">
      <c r="A230" s="96"/>
      <c r="B230" s="238"/>
      <c r="C230" s="93"/>
      <c r="D230" s="92"/>
      <c r="E230" s="270"/>
      <c r="F230" s="271"/>
      <c r="G230" s="272"/>
      <c r="H230" s="279"/>
      <c r="I230" s="280"/>
      <c r="J230" s="281"/>
      <c r="K230" s="283"/>
      <c r="L230" s="273"/>
      <c r="M230" s="274"/>
      <c r="N230" s="139"/>
      <c r="O230" s="281"/>
    </row>
    <row r="231" spans="1:15" ht="17.850000000000001" customHeight="1" x14ac:dyDescent="0.25">
      <c r="A231" s="96"/>
      <c r="B231" s="238"/>
      <c r="C231" s="93"/>
      <c r="D231" s="92"/>
      <c r="E231" s="270"/>
      <c r="F231" s="271"/>
      <c r="G231" s="272"/>
      <c r="H231" s="279"/>
      <c r="I231" s="280"/>
      <c r="J231" s="281"/>
      <c r="K231" s="283"/>
      <c r="L231" s="273"/>
      <c r="M231" s="274"/>
      <c r="N231" s="139"/>
      <c r="O231" s="281"/>
    </row>
    <row r="232" spans="1:15" ht="17.850000000000001" customHeight="1" x14ac:dyDescent="0.25">
      <c r="A232" s="96"/>
      <c r="B232" s="238"/>
      <c r="C232" s="93"/>
      <c r="D232" s="92"/>
      <c r="E232" s="270"/>
      <c r="F232" s="271"/>
      <c r="G232" s="272"/>
      <c r="H232" s="279"/>
      <c r="I232" s="280"/>
      <c r="J232" s="281"/>
      <c r="K232" s="283"/>
      <c r="L232" s="273"/>
      <c r="M232" s="274"/>
      <c r="N232" s="139"/>
      <c r="O232" s="281"/>
    </row>
    <row r="233" spans="1:15" ht="17.850000000000001" customHeight="1" x14ac:dyDescent="0.25">
      <c r="A233" s="96"/>
      <c r="B233" s="238"/>
      <c r="C233" s="93"/>
      <c r="D233" s="92"/>
      <c r="E233" s="270"/>
      <c r="F233" s="271"/>
      <c r="G233" s="272"/>
      <c r="H233" s="279"/>
      <c r="I233" s="280"/>
      <c r="J233" s="281"/>
      <c r="K233" s="283"/>
      <c r="L233" s="273"/>
      <c r="M233" s="274"/>
      <c r="N233" s="139"/>
      <c r="O233" s="281"/>
    </row>
    <row r="234" spans="1:15" ht="17.850000000000001" customHeight="1" x14ac:dyDescent="0.25">
      <c r="A234" s="96"/>
      <c r="B234" s="238"/>
      <c r="C234" s="93"/>
      <c r="D234" s="92"/>
      <c r="E234" s="270"/>
      <c r="F234" s="271"/>
      <c r="G234" s="272"/>
      <c r="H234" s="279"/>
      <c r="I234" s="280"/>
      <c r="J234" s="281"/>
      <c r="K234" s="283"/>
      <c r="L234" s="273"/>
      <c r="M234" s="274"/>
      <c r="N234" s="139"/>
      <c r="O234" s="281"/>
    </row>
    <row r="235" spans="1:15" ht="17.850000000000001" customHeight="1" x14ac:dyDescent="0.25">
      <c r="A235" s="96"/>
      <c r="B235" s="238"/>
      <c r="C235" s="93"/>
      <c r="D235" s="92"/>
      <c r="E235" s="270"/>
      <c r="F235" s="273"/>
      <c r="G235" s="274"/>
      <c r="H235" s="279"/>
      <c r="I235" s="280"/>
      <c r="J235" s="281"/>
      <c r="K235" s="283"/>
      <c r="L235" s="273"/>
      <c r="M235" s="274"/>
      <c r="N235" s="139"/>
      <c r="O235" s="281"/>
    </row>
    <row r="236" spans="1:15" ht="17.850000000000001" customHeight="1" x14ac:dyDescent="0.25">
      <c r="A236" s="96"/>
      <c r="B236" s="238"/>
      <c r="C236" s="93"/>
      <c r="D236" s="92"/>
      <c r="E236" s="270"/>
      <c r="F236" s="273"/>
      <c r="G236" s="274"/>
      <c r="H236" s="279"/>
      <c r="I236" s="280"/>
      <c r="J236" s="281"/>
      <c r="K236" s="283"/>
      <c r="L236" s="273"/>
      <c r="M236" s="274"/>
      <c r="N236" s="139"/>
      <c r="O236" s="281"/>
    </row>
    <row r="237" spans="1:15" ht="17.850000000000001" customHeight="1" x14ac:dyDescent="0.25">
      <c r="A237" s="96"/>
      <c r="B237" s="238"/>
      <c r="C237" s="93"/>
      <c r="D237" s="92"/>
      <c r="E237" s="270"/>
      <c r="F237" s="273"/>
      <c r="G237" s="274"/>
      <c r="H237" s="279"/>
      <c r="I237" s="280"/>
      <c r="J237" s="281"/>
      <c r="K237" s="283"/>
      <c r="L237" s="273"/>
      <c r="M237" s="274"/>
      <c r="N237" s="139"/>
      <c r="O237" s="281"/>
    </row>
    <row r="238" spans="1:15" ht="17.850000000000001" customHeight="1" x14ac:dyDescent="0.25">
      <c r="A238" s="96"/>
      <c r="B238" s="238"/>
      <c r="C238" s="93"/>
      <c r="D238" s="92"/>
      <c r="E238" s="270"/>
      <c r="F238" s="273"/>
      <c r="G238" s="274"/>
      <c r="H238" s="279"/>
      <c r="I238" s="280"/>
      <c r="J238" s="281"/>
      <c r="K238" s="283"/>
      <c r="L238" s="273"/>
      <c r="M238" s="274"/>
      <c r="N238" s="139"/>
      <c r="O238" s="281"/>
    </row>
    <row r="239" spans="1:15" ht="17.850000000000001" customHeight="1" x14ac:dyDescent="0.25">
      <c r="A239" s="96"/>
      <c r="B239" s="238"/>
      <c r="C239" s="93"/>
      <c r="D239" s="92"/>
      <c r="E239" s="270"/>
      <c r="F239" s="273"/>
      <c r="G239" s="274"/>
      <c r="H239" s="279"/>
      <c r="I239" s="280"/>
      <c r="J239" s="281"/>
      <c r="K239" s="283"/>
      <c r="L239" s="273"/>
      <c r="M239" s="274"/>
      <c r="N239" s="139"/>
      <c r="O239" s="281"/>
    </row>
    <row r="240" spans="1:15" ht="17.850000000000001" customHeight="1" x14ac:dyDescent="0.25">
      <c r="A240" s="96"/>
      <c r="B240" s="238"/>
      <c r="C240" s="93"/>
      <c r="D240" s="92"/>
      <c r="E240" s="270"/>
      <c r="F240" s="273"/>
      <c r="G240" s="274"/>
      <c r="H240" s="279"/>
      <c r="I240" s="280"/>
      <c r="J240" s="281"/>
      <c r="K240" s="283"/>
      <c r="L240" s="273"/>
      <c r="M240" s="274"/>
      <c r="N240" s="139"/>
      <c r="O240" s="281"/>
    </row>
    <row r="241" spans="1:15" ht="17.850000000000001" customHeight="1" x14ac:dyDescent="0.25">
      <c r="A241" s="96"/>
      <c r="B241" s="238"/>
      <c r="C241" s="93"/>
      <c r="D241" s="92"/>
      <c r="E241" s="270"/>
      <c r="F241" s="273"/>
      <c r="G241" s="274"/>
      <c r="H241" s="279"/>
      <c r="I241" s="280"/>
      <c r="J241" s="281"/>
      <c r="K241" s="283"/>
      <c r="L241" s="273"/>
      <c r="M241" s="274"/>
      <c r="N241" s="139"/>
      <c r="O241" s="281"/>
    </row>
    <row r="242" spans="1:15" ht="17.850000000000001" customHeight="1" x14ac:dyDescent="0.25">
      <c r="A242" s="96"/>
      <c r="B242" s="238"/>
      <c r="C242" s="93"/>
      <c r="D242" s="92"/>
      <c r="E242" s="270"/>
      <c r="F242" s="273"/>
      <c r="G242" s="274"/>
      <c r="H242" s="279"/>
      <c r="I242" s="280"/>
      <c r="J242" s="281"/>
      <c r="K242" s="283"/>
      <c r="L242" s="273"/>
      <c r="M242" s="274"/>
      <c r="N242" s="139"/>
      <c r="O242" s="281"/>
    </row>
    <row r="243" spans="1:15" ht="17.850000000000001" customHeight="1" x14ac:dyDescent="0.25">
      <c r="A243" s="96"/>
      <c r="B243" s="238"/>
      <c r="C243" s="93"/>
      <c r="D243" s="92"/>
      <c r="E243" s="270"/>
      <c r="F243" s="273"/>
      <c r="G243" s="274"/>
      <c r="H243" s="279"/>
      <c r="I243" s="280"/>
      <c r="J243" s="281"/>
      <c r="K243" s="283"/>
      <c r="L243" s="273"/>
      <c r="M243" s="274"/>
      <c r="N243" s="139"/>
      <c r="O243" s="281"/>
    </row>
    <row r="244" spans="1:15" ht="17.850000000000001" customHeight="1" x14ac:dyDescent="0.25">
      <c r="A244" s="96"/>
      <c r="B244" s="238"/>
      <c r="C244" s="93"/>
      <c r="D244" s="92"/>
      <c r="E244" s="270"/>
      <c r="F244" s="273"/>
      <c r="G244" s="274"/>
      <c r="H244" s="279"/>
      <c r="I244" s="280"/>
      <c r="J244" s="281"/>
      <c r="K244" s="283"/>
      <c r="L244" s="273"/>
      <c r="M244" s="274"/>
      <c r="N244" s="139"/>
      <c r="O244" s="281"/>
    </row>
    <row r="245" spans="1:15" ht="17.850000000000001" customHeight="1" x14ac:dyDescent="0.25">
      <c r="A245" s="96"/>
      <c r="B245" s="238"/>
      <c r="C245" s="93"/>
      <c r="D245" s="92"/>
      <c r="E245" s="270"/>
      <c r="F245" s="273"/>
      <c r="G245" s="274"/>
      <c r="H245" s="279"/>
      <c r="I245" s="280"/>
      <c r="J245" s="281"/>
      <c r="K245" s="283"/>
      <c r="L245" s="273"/>
      <c r="M245" s="274"/>
      <c r="N245" s="139"/>
      <c r="O245" s="281"/>
    </row>
    <row r="246" spans="1:15" ht="17.850000000000001" customHeight="1" x14ac:dyDescent="0.25">
      <c r="A246" s="96"/>
      <c r="B246" s="238"/>
      <c r="C246" s="93"/>
      <c r="D246" s="92"/>
      <c r="E246" s="270"/>
      <c r="F246" s="273"/>
      <c r="G246" s="274"/>
      <c r="H246" s="279"/>
      <c r="I246" s="280"/>
      <c r="J246" s="281"/>
      <c r="K246" s="283"/>
      <c r="L246" s="273"/>
      <c r="M246" s="274"/>
      <c r="N246" s="139"/>
      <c r="O246" s="281"/>
    </row>
    <row r="247" spans="1:15" ht="17.850000000000001" customHeight="1" x14ac:dyDescent="0.25">
      <c r="A247" s="96"/>
      <c r="B247" s="238"/>
      <c r="C247" s="93"/>
      <c r="D247" s="92"/>
      <c r="E247" s="270"/>
      <c r="F247" s="273"/>
      <c r="G247" s="274"/>
      <c r="H247" s="279"/>
      <c r="I247" s="280"/>
      <c r="J247" s="281"/>
      <c r="K247" s="283"/>
      <c r="L247" s="273"/>
      <c r="M247" s="274"/>
      <c r="N247" s="139"/>
      <c r="O247" s="281"/>
    </row>
    <row r="248" spans="1:15" ht="17.850000000000001" customHeight="1" x14ac:dyDescent="0.25">
      <c r="A248" s="96"/>
      <c r="B248" s="238"/>
      <c r="C248" s="93"/>
      <c r="D248" s="92"/>
      <c r="E248" s="270"/>
      <c r="F248" s="273"/>
      <c r="G248" s="274"/>
      <c r="H248" s="279"/>
      <c r="I248" s="280"/>
      <c r="J248" s="281"/>
      <c r="K248" s="283"/>
      <c r="L248" s="273"/>
      <c r="M248" s="274"/>
      <c r="N248" s="139"/>
      <c r="O248" s="281"/>
    </row>
    <row r="249" spans="1:15" ht="17.850000000000001" customHeight="1" x14ac:dyDescent="0.25">
      <c r="A249" s="96"/>
      <c r="B249" s="238"/>
      <c r="C249" s="93"/>
      <c r="D249" s="92"/>
      <c r="E249" s="270"/>
      <c r="F249" s="273"/>
      <c r="G249" s="274"/>
      <c r="H249" s="279"/>
      <c r="I249" s="280"/>
      <c r="J249" s="281"/>
      <c r="K249" s="283"/>
      <c r="L249" s="273"/>
      <c r="M249" s="274"/>
      <c r="N249" s="139"/>
      <c r="O249" s="281"/>
    </row>
    <row r="250" spans="1:15" ht="17.850000000000001" customHeight="1" x14ac:dyDescent="0.25">
      <c r="A250" s="96"/>
      <c r="B250" s="238"/>
      <c r="C250" s="93"/>
      <c r="D250" s="92"/>
      <c r="E250" s="270"/>
      <c r="F250" s="273"/>
      <c r="G250" s="274"/>
      <c r="H250" s="279"/>
      <c r="I250" s="280"/>
      <c r="J250" s="281"/>
      <c r="K250" s="283"/>
      <c r="L250" s="273"/>
      <c r="M250" s="274"/>
      <c r="N250" s="139"/>
      <c r="O250" s="281"/>
    </row>
    <row r="251" spans="1:15" ht="17.850000000000001" customHeight="1" x14ac:dyDescent="0.25">
      <c r="A251" s="96"/>
      <c r="B251" s="238"/>
      <c r="C251" s="93"/>
      <c r="D251" s="92"/>
      <c r="E251" s="270"/>
      <c r="F251" s="273"/>
      <c r="G251" s="274"/>
      <c r="H251" s="279"/>
      <c r="I251" s="280"/>
      <c r="J251" s="281"/>
      <c r="K251" s="283"/>
      <c r="L251" s="273"/>
      <c r="M251" s="274"/>
      <c r="N251" s="139"/>
      <c r="O251" s="281"/>
    </row>
    <row r="252" spans="1:15" ht="17.850000000000001" customHeight="1" x14ac:dyDescent="0.25">
      <c r="A252" s="96"/>
      <c r="B252" s="238"/>
      <c r="C252" s="93"/>
      <c r="D252" s="92"/>
      <c r="E252" s="270"/>
      <c r="F252" s="273"/>
      <c r="G252" s="274"/>
      <c r="H252" s="279"/>
      <c r="I252" s="280"/>
      <c r="J252" s="281"/>
      <c r="K252" s="283"/>
      <c r="L252" s="273"/>
      <c r="M252" s="274"/>
      <c r="N252" s="139"/>
      <c r="O252" s="281"/>
    </row>
    <row r="253" spans="1:15" ht="17.850000000000001" customHeight="1" x14ac:dyDescent="0.25">
      <c r="A253" s="96"/>
      <c r="B253" s="238"/>
      <c r="C253" s="93"/>
      <c r="D253" s="92"/>
      <c r="E253" s="270"/>
      <c r="F253" s="273"/>
      <c r="G253" s="274"/>
      <c r="H253" s="279"/>
      <c r="I253" s="280"/>
      <c r="J253" s="281"/>
      <c r="K253" s="283"/>
      <c r="L253" s="273"/>
      <c r="M253" s="274"/>
      <c r="N253" s="139"/>
      <c r="O253" s="281"/>
    </row>
    <row r="254" spans="1:15" ht="17.850000000000001" customHeight="1" x14ac:dyDescent="0.25">
      <c r="A254" s="96"/>
      <c r="B254" s="238"/>
      <c r="C254" s="93"/>
      <c r="D254" s="92"/>
      <c r="E254" s="270"/>
      <c r="F254" s="273"/>
      <c r="G254" s="274"/>
      <c r="H254" s="279"/>
      <c r="I254" s="280"/>
      <c r="J254" s="281"/>
      <c r="K254" s="283"/>
      <c r="L254" s="273"/>
      <c r="M254" s="274"/>
      <c r="N254" s="139"/>
      <c r="O254" s="281"/>
    </row>
    <row r="255" spans="1:15" ht="17.850000000000001" customHeight="1" x14ac:dyDescent="0.25">
      <c r="A255" s="96"/>
      <c r="B255" s="238"/>
      <c r="C255" s="93"/>
      <c r="D255" s="92"/>
      <c r="E255" s="270"/>
      <c r="F255" s="273"/>
      <c r="G255" s="274"/>
      <c r="H255" s="279"/>
      <c r="I255" s="280"/>
      <c r="J255" s="281"/>
      <c r="K255" s="283"/>
      <c r="L255" s="273"/>
      <c r="M255" s="274"/>
      <c r="N255" s="139"/>
      <c r="O255" s="281"/>
    </row>
    <row r="256" spans="1:15" ht="17.850000000000001" customHeight="1" x14ac:dyDescent="0.25">
      <c r="A256" s="96"/>
      <c r="B256" s="238"/>
      <c r="C256" s="93"/>
      <c r="D256" s="92"/>
      <c r="E256" s="270"/>
      <c r="F256" s="273"/>
      <c r="G256" s="274"/>
      <c r="H256" s="279"/>
      <c r="I256" s="280"/>
      <c r="J256" s="281"/>
      <c r="K256" s="283"/>
      <c r="L256" s="273"/>
      <c r="M256" s="274"/>
      <c r="N256" s="139"/>
      <c r="O256" s="281"/>
    </row>
    <row r="257" spans="1:15" ht="17.850000000000001" customHeight="1" x14ac:dyDescent="0.25">
      <c r="A257" s="96"/>
      <c r="B257" s="238"/>
      <c r="C257" s="93"/>
      <c r="D257" s="92"/>
      <c r="E257" s="270"/>
      <c r="F257" s="273"/>
      <c r="G257" s="274"/>
      <c r="H257" s="279"/>
      <c r="I257" s="280"/>
      <c r="J257" s="281"/>
      <c r="K257" s="283"/>
      <c r="L257" s="273"/>
      <c r="M257" s="274"/>
      <c r="N257" s="139"/>
      <c r="O257" s="281"/>
    </row>
    <row r="258" spans="1:15" ht="17.850000000000001" customHeight="1" x14ac:dyDescent="0.25">
      <c r="A258" s="96"/>
      <c r="B258" s="238"/>
      <c r="C258" s="93"/>
      <c r="D258" s="92"/>
      <c r="E258" s="270"/>
      <c r="F258" s="273"/>
      <c r="G258" s="274"/>
      <c r="H258" s="279"/>
      <c r="I258" s="280"/>
      <c r="J258" s="281"/>
      <c r="K258" s="283"/>
      <c r="L258" s="273"/>
      <c r="M258" s="274"/>
      <c r="N258" s="139"/>
      <c r="O258" s="281"/>
    </row>
    <row r="259" spans="1:15" ht="17.850000000000001" customHeight="1" x14ac:dyDescent="0.25">
      <c r="A259" s="96"/>
      <c r="B259" s="238"/>
      <c r="C259" s="93"/>
      <c r="D259" s="92"/>
      <c r="E259" s="270"/>
      <c r="F259" s="273"/>
      <c r="G259" s="274"/>
      <c r="H259" s="279"/>
      <c r="I259" s="280"/>
      <c r="J259" s="281"/>
      <c r="K259" s="283"/>
      <c r="L259" s="273"/>
      <c r="M259" s="274"/>
      <c r="N259" s="139"/>
      <c r="O259" s="281"/>
    </row>
    <row r="260" spans="1:15" ht="17.850000000000001" customHeight="1" x14ac:dyDescent="0.25">
      <c r="A260" s="96"/>
      <c r="B260" s="238"/>
      <c r="C260" s="93"/>
      <c r="D260" s="92"/>
      <c r="E260" s="270"/>
      <c r="F260" s="273"/>
      <c r="G260" s="274"/>
      <c r="H260" s="279"/>
      <c r="I260" s="280"/>
      <c r="J260" s="281"/>
      <c r="K260" s="283"/>
      <c r="L260" s="273"/>
      <c r="M260" s="274"/>
      <c r="N260" s="139"/>
      <c r="O260" s="281"/>
    </row>
    <row r="261" spans="1:15" ht="17.850000000000001" customHeight="1" x14ac:dyDescent="0.25">
      <c r="A261" s="96"/>
      <c r="B261" s="238"/>
      <c r="C261" s="93"/>
      <c r="D261" s="92"/>
      <c r="E261" s="270"/>
      <c r="F261" s="273"/>
      <c r="G261" s="274"/>
      <c r="H261" s="279"/>
      <c r="I261" s="280"/>
      <c r="J261" s="281"/>
      <c r="K261" s="283"/>
      <c r="L261" s="273"/>
      <c r="M261" s="274"/>
      <c r="N261" s="139"/>
      <c r="O261" s="281"/>
    </row>
    <row r="262" spans="1:15" ht="17.850000000000001" customHeight="1" x14ac:dyDescent="0.25">
      <c r="A262" s="96"/>
      <c r="B262" s="238"/>
      <c r="C262" s="93"/>
      <c r="D262" s="92"/>
      <c r="E262" s="270"/>
      <c r="F262" s="273"/>
      <c r="G262" s="274"/>
      <c r="H262" s="279"/>
      <c r="I262" s="280"/>
      <c r="J262" s="281"/>
      <c r="K262" s="283"/>
      <c r="L262" s="273"/>
      <c r="M262" s="274"/>
      <c r="N262" s="139"/>
      <c r="O262" s="281"/>
    </row>
    <row r="263" spans="1:15" ht="17.850000000000001" customHeight="1" x14ac:dyDescent="0.25">
      <c r="A263" s="96"/>
      <c r="B263" s="238"/>
      <c r="C263" s="93"/>
      <c r="D263" s="92"/>
      <c r="E263" s="270"/>
      <c r="F263" s="273"/>
      <c r="G263" s="274"/>
      <c r="H263" s="279"/>
      <c r="I263" s="280"/>
      <c r="J263" s="281"/>
      <c r="K263" s="283"/>
      <c r="L263" s="273"/>
      <c r="M263" s="274"/>
      <c r="N263" s="139"/>
      <c r="O263" s="281"/>
    </row>
    <row r="264" spans="1:15" ht="17.850000000000001" customHeight="1" x14ac:dyDescent="0.25">
      <c r="A264" s="96"/>
      <c r="B264" s="238"/>
      <c r="C264" s="93"/>
      <c r="D264" s="92"/>
      <c r="E264" s="270"/>
      <c r="F264" s="273"/>
      <c r="G264" s="274"/>
      <c r="H264" s="279"/>
      <c r="I264" s="280"/>
      <c r="J264" s="281"/>
      <c r="K264" s="283"/>
      <c r="L264" s="273"/>
      <c r="M264" s="274"/>
      <c r="N264" s="139"/>
      <c r="O264" s="281"/>
    </row>
    <row r="265" spans="1:15" ht="17.850000000000001" customHeight="1" x14ac:dyDescent="0.25">
      <c r="A265" s="96"/>
      <c r="B265" s="238"/>
      <c r="C265" s="93"/>
      <c r="D265" s="92"/>
      <c r="E265" s="270"/>
      <c r="F265" s="273"/>
      <c r="G265" s="274"/>
      <c r="H265" s="279"/>
      <c r="I265" s="280"/>
      <c r="J265" s="281"/>
      <c r="K265" s="283"/>
      <c r="L265" s="273"/>
      <c r="M265" s="274"/>
      <c r="N265" s="139"/>
      <c r="O265" s="281"/>
    </row>
    <row r="266" spans="1:15" ht="17.850000000000001" customHeight="1" x14ac:dyDescent="0.25">
      <c r="A266" s="96"/>
      <c r="B266" s="238"/>
      <c r="C266" s="93"/>
      <c r="D266" s="92"/>
      <c r="E266" s="270"/>
      <c r="F266" s="273"/>
      <c r="G266" s="274"/>
      <c r="H266" s="279"/>
      <c r="I266" s="280"/>
      <c r="J266" s="281"/>
      <c r="K266" s="283"/>
      <c r="L266" s="273"/>
      <c r="M266" s="274"/>
      <c r="N266" s="139"/>
      <c r="O266" s="281"/>
    </row>
    <row r="267" spans="1:15" ht="17.850000000000001" customHeight="1" x14ac:dyDescent="0.25">
      <c r="A267" s="96"/>
      <c r="B267" s="238"/>
      <c r="C267" s="93"/>
      <c r="D267" s="92"/>
      <c r="E267" s="270"/>
      <c r="F267" s="273"/>
      <c r="G267" s="274"/>
      <c r="H267" s="279"/>
      <c r="I267" s="280"/>
      <c r="J267" s="281"/>
      <c r="K267" s="283"/>
      <c r="L267" s="273"/>
      <c r="M267" s="274"/>
      <c r="N267" s="139"/>
      <c r="O267" s="281"/>
    </row>
    <row r="268" spans="1:15" ht="17.850000000000001" customHeight="1" x14ac:dyDescent="0.25">
      <c r="A268" s="96"/>
      <c r="B268" s="238"/>
      <c r="C268" s="93"/>
      <c r="D268" s="92"/>
      <c r="E268" s="270"/>
      <c r="F268" s="273"/>
      <c r="G268" s="274"/>
      <c r="H268" s="279"/>
      <c r="I268" s="280"/>
      <c r="J268" s="281"/>
      <c r="K268" s="283"/>
      <c r="L268" s="273"/>
      <c r="M268" s="274"/>
      <c r="N268" s="139"/>
      <c r="O268" s="281"/>
    </row>
    <row r="269" spans="1:15" ht="17.850000000000001" customHeight="1" x14ac:dyDescent="0.25">
      <c r="A269" s="96"/>
      <c r="B269" s="238"/>
      <c r="C269" s="93"/>
      <c r="D269" s="92"/>
      <c r="E269" s="270"/>
      <c r="F269" s="273"/>
      <c r="G269" s="274"/>
      <c r="H269" s="279"/>
      <c r="I269" s="280"/>
      <c r="J269" s="281"/>
      <c r="K269" s="283"/>
      <c r="L269" s="273"/>
      <c r="M269" s="274"/>
      <c r="N269" s="139"/>
      <c r="O269" s="281"/>
    </row>
    <row r="270" spans="1:15" ht="17.850000000000001" customHeight="1" x14ac:dyDescent="0.25">
      <c r="A270" s="96"/>
      <c r="B270" s="238"/>
      <c r="C270" s="93"/>
      <c r="D270" s="92"/>
      <c r="E270" s="270"/>
      <c r="F270" s="273"/>
      <c r="G270" s="274"/>
      <c r="H270" s="279"/>
      <c r="I270" s="280"/>
      <c r="J270" s="281"/>
      <c r="K270" s="283"/>
      <c r="L270" s="273"/>
      <c r="M270" s="274"/>
      <c r="N270" s="139"/>
      <c r="O270" s="281"/>
    </row>
    <row r="271" spans="1:15" ht="17.850000000000001" customHeight="1" x14ac:dyDescent="0.25">
      <c r="A271" s="96"/>
      <c r="B271" s="238"/>
      <c r="C271" s="93"/>
      <c r="D271" s="92"/>
      <c r="E271" s="270"/>
      <c r="F271" s="273"/>
      <c r="G271" s="274"/>
      <c r="H271" s="279"/>
      <c r="I271" s="280"/>
      <c r="J271" s="281"/>
      <c r="K271" s="283"/>
      <c r="L271" s="273"/>
      <c r="M271" s="274"/>
      <c r="N271" s="139"/>
      <c r="O271" s="281"/>
    </row>
    <row r="272" spans="1:15" ht="17.850000000000001" customHeight="1" x14ac:dyDescent="0.25">
      <c r="A272" s="96"/>
      <c r="B272" s="238"/>
      <c r="C272" s="93"/>
      <c r="D272" s="92"/>
      <c r="E272" s="270"/>
      <c r="F272" s="273"/>
      <c r="G272" s="274"/>
      <c r="H272" s="279"/>
      <c r="I272" s="280"/>
      <c r="J272" s="281"/>
      <c r="K272" s="283"/>
      <c r="L272" s="273"/>
      <c r="M272" s="274"/>
      <c r="N272" s="139"/>
      <c r="O272" s="281"/>
    </row>
    <row r="273" spans="1:15" ht="17.850000000000001" customHeight="1" x14ac:dyDescent="0.25">
      <c r="A273" s="96"/>
      <c r="B273" s="238"/>
      <c r="C273" s="93"/>
      <c r="D273" s="92"/>
      <c r="E273" s="270"/>
      <c r="F273" s="273"/>
      <c r="G273" s="274"/>
      <c r="H273" s="279"/>
      <c r="I273" s="280"/>
      <c r="J273" s="281"/>
      <c r="K273" s="283"/>
      <c r="L273" s="273"/>
      <c r="M273" s="274"/>
      <c r="N273" s="139"/>
      <c r="O273" s="281"/>
    </row>
    <row r="274" spans="1:15" ht="17.850000000000001" customHeight="1" x14ac:dyDescent="0.25">
      <c r="A274" s="96"/>
      <c r="B274" s="238"/>
      <c r="C274" s="93"/>
      <c r="D274" s="92"/>
      <c r="E274" s="270"/>
      <c r="F274" s="273"/>
      <c r="G274" s="274"/>
      <c r="H274" s="279"/>
      <c r="I274" s="280"/>
      <c r="J274" s="281"/>
      <c r="K274" s="283"/>
      <c r="L274" s="273"/>
      <c r="M274" s="274"/>
      <c r="N274" s="139"/>
      <c r="O274" s="281"/>
    </row>
    <row r="275" spans="1:15" ht="17.850000000000001" customHeight="1" x14ac:dyDescent="0.25">
      <c r="A275" s="96"/>
      <c r="B275" s="238"/>
      <c r="C275" s="93"/>
      <c r="D275" s="92"/>
      <c r="E275" s="270"/>
      <c r="F275" s="273"/>
      <c r="G275" s="274"/>
      <c r="H275" s="279"/>
      <c r="I275" s="280"/>
      <c r="J275" s="281"/>
      <c r="K275" s="283"/>
      <c r="L275" s="273"/>
      <c r="M275" s="274"/>
      <c r="N275" s="139"/>
      <c r="O275" s="281"/>
    </row>
    <row r="276" spans="1:15" ht="17.850000000000001" customHeight="1" x14ac:dyDescent="0.25">
      <c r="A276" s="96"/>
      <c r="B276" s="238"/>
      <c r="C276" s="93"/>
      <c r="D276" s="92"/>
      <c r="E276" s="270"/>
      <c r="F276" s="273"/>
      <c r="G276" s="274"/>
      <c r="H276" s="279"/>
      <c r="I276" s="280"/>
      <c r="J276" s="281"/>
      <c r="K276" s="283"/>
      <c r="L276" s="273"/>
      <c r="M276" s="274"/>
      <c r="N276" s="139"/>
      <c r="O276" s="281"/>
    </row>
    <row r="277" spans="1:15" ht="17.850000000000001" customHeight="1" x14ac:dyDescent="0.25">
      <c r="A277" s="96"/>
      <c r="B277" s="238"/>
      <c r="C277" s="93"/>
      <c r="D277" s="92"/>
      <c r="E277" s="270"/>
      <c r="F277" s="273"/>
      <c r="G277" s="274"/>
      <c r="H277" s="279"/>
      <c r="I277" s="280"/>
      <c r="J277" s="281"/>
      <c r="K277" s="283"/>
      <c r="L277" s="273"/>
      <c r="M277" s="274"/>
      <c r="N277" s="139"/>
      <c r="O277" s="281"/>
    </row>
    <row r="278" spans="1:15" ht="17.850000000000001" customHeight="1" x14ac:dyDescent="0.25">
      <c r="A278" s="96"/>
      <c r="B278" s="238"/>
      <c r="C278" s="93"/>
      <c r="D278" s="92"/>
      <c r="E278" s="270"/>
      <c r="F278" s="273"/>
      <c r="G278" s="274"/>
      <c r="H278" s="279"/>
      <c r="I278" s="280"/>
      <c r="J278" s="281"/>
      <c r="K278" s="283"/>
      <c r="L278" s="273"/>
      <c r="M278" s="274"/>
      <c r="N278" s="139"/>
      <c r="O278" s="281"/>
    </row>
    <row r="279" spans="1:15" ht="17.850000000000001" customHeight="1" x14ac:dyDescent="0.25">
      <c r="A279" s="96"/>
      <c r="B279" s="238"/>
      <c r="C279" s="93"/>
      <c r="D279" s="92"/>
      <c r="E279" s="270"/>
      <c r="F279" s="273"/>
      <c r="G279" s="274"/>
      <c r="H279" s="279"/>
      <c r="I279" s="280"/>
      <c r="J279" s="281"/>
      <c r="K279" s="283"/>
      <c r="L279" s="273"/>
      <c r="M279" s="274"/>
      <c r="N279" s="139"/>
      <c r="O279" s="281"/>
    </row>
    <row r="280" spans="1:15" ht="17.850000000000001" customHeight="1" x14ac:dyDescent="0.25">
      <c r="A280" s="96"/>
      <c r="B280" s="238"/>
      <c r="C280" s="93"/>
      <c r="D280" s="92"/>
      <c r="E280" s="270"/>
      <c r="F280" s="273"/>
      <c r="G280" s="274"/>
      <c r="H280" s="279"/>
      <c r="I280" s="280"/>
      <c r="J280" s="281"/>
      <c r="K280" s="283"/>
      <c r="L280" s="273"/>
      <c r="M280" s="274"/>
      <c r="N280" s="139"/>
      <c r="O280" s="281"/>
    </row>
    <row r="281" spans="1:15" ht="17.850000000000001" customHeight="1" x14ac:dyDescent="0.25">
      <c r="A281" s="96"/>
      <c r="B281" s="238"/>
      <c r="C281" s="93"/>
      <c r="D281" s="92"/>
      <c r="E281" s="270"/>
      <c r="F281" s="273"/>
      <c r="G281" s="274"/>
      <c r="H281" s="279"/>
      <c r="I281" s="280"/>
      <c r="J281" s="281"/>
      <c r="K281" s="283"/>
      <c r="L281" s="273"/>
      <c r="M281" s="274"/>
      <c r="N281" s="139"/>
      <c r="O281" s="281"/>
    </row>
    <row r="282" spans="1:15" ht="17.850000000000001" customHeight="1" x14ac:dyDescent="0.25">
      <c r="A282" s="96"/>
      <c r="B282" s="238"/>
      <c r="C282" s="93"/>
      <c r="D282" s="92"/>
      <c r="E282" s="270"/>
      <c r="F282" s="273"/>
      <c r="G282" s="274"/>
      <c r="H282" s="279"/>
      <c r="I282" s="280"/>
      <c r="J282" s="281"/>
      <c r="K282" s="283"/>
      <c r="L282" s="273"/>
      <c r="M282" s="274"/>
      <c r="N282" s="139"/>
      <c r="O282" s="281"/>
    </row>
    <row r="283" spans="1:15" ht="17.850000000000001" customHeight="1" x14ac:dyDescent="0.25">
      <c r="A283" s="96"/>
      <c r="B283" s="238"/>
      <c r="C283" s="93"/>
      <c r="D283" s="92"/>
      <c r="E283" s="270"/>
      <c r="F283" s="273"/>
      <c r="G283" s="274"/>
      <c r="H283" s="279"/>
      <c r="I283" s="280"/>
      <c r="J283" s="281"/>
      <c r="K283" s="283"/>
      <c r="L283" s="273"/>
      <c r="M283" s="274"/>
      <c r="N283" s="139"/>
      <c r="O283" s="281"/>
    </row>
    <row r="284" spans="1:15" ht="17.850000000000001" customHeight="1" x14ac:dyDescent="0.25">
      <c r="A284" s="96"/>
      <c r="B284" s="238"/>
      <c r="C284" s="93"/>
      <c r="D284" s="92"/>
      <c r="E284" s="270"/>
      <c r="F284" s="273"/>
      <c r="G284" s="274"/>
      <c r="H284" s="279"/>
      <c r="I284" s="280"/>
      <c r="J284" s="281"/>
      <c r="K284" s="283"/>
      <c r="L284" s="273"/>
      <c r="M284" s="274"/>
      <c r="N284" s="139"/>
      <c r="O284" s="281"/>
    </row>
    <row r="285" spans="1:15" ht="17.850000000000001" customHeight="1" x14ac:dyDescent="0.25">
      <c r="A285" s="96"/>
      <c r="B285" s="238"/>
      <c r="C285" s="93"/>
      <c r="D285" s="92"/>
      <c r="E285" s="270"/>
      <c r="F285" s="273"/>
      <c r="G285" s="274"/>
      <c r="H285" s="279"/>
      <c r="I285" s="280"/>
      <c r="J285" s="281"/>
      <c r="K285" s="283"/>
      <c r="L285" s="273"/>
      <c r="M285" s="274"/>
      <c r="N285" s="139"/>
      <c r="O285" s="281"/>
    </row>
    <row r="286" spans="1:15" ht="17.850000000000001" customHeight="1" x14ac:dyDescent="0.25">
      <c r="A286" s="96"/>
      <c r="B286" s="238"/>
      <c r="C286" s="93"/>
      <c r="D286" s="92"/>
      <c r="E286" s="270"/>
      <c r="F286" s="273"/>
      <c r="G286" s="274"/>
      <c r="H286" s="279"/>
      <c r="I286" s="280"/>
      <c r="J286" s="281"/>
      <c r="K286" s="283"/>
      <c r="L286" s="273"/>
      <c r="M286" s="274"/>
      <c r="N286" s="139"/>
      <c r="O286" s="281"/>
    </row>
    <row r="287" spans="1:15" ht="17.850000000000001" customHeight="1" x14ac:dyDescent="0.25">
      <c r="A287" s="96"/>
      <c r="B287" s="238"/>
      <c r="C287" s="93"/>
      <c r="D287" s="92"/>
      <c r="E287" s="270"/>
      <c r="F287" s="273"/>
      <c r="G287" s="274"/>
      <c r="H287" s="279"/>
      <c r="I287" s="280"/>
      <c r="J287" s="281"/>
      <c r="K287" s="283"/>
      <c r="L287" s="273"/>
      <c r="M287" s="274"/>
      <c r="N287" s="139"/>
      <c r="O287" s="281"/>
    </row>
    <row r="288" spans="1:15" ht="17.850000000000001" customHeight="1" x14ac:dyDescent="0.25">
      <c r="A288" s="96"/>
      <c r="B288" s="238"/>
      <c r="C288" s="93"/>
      <c r="D288" s="92"/>
      <c r="E288" s="270"/>
      <c r="F288" s="273"/>
      <c r="G288" s="274"/>
      <c r="H288" s="279"/>
      <c r="I288" s="280"/>
      <c r="J288" s="281"/>
      <c r="K288" s="283"/>
      <c r="L288" s="273"/>
      <c r="M288" s="274"/>
      <c r="N288" s="139"/>
      <c r="O288" s="281"/>
    </row>
    <row r="289" spans="1:15" ht="17.850000000000001" customHeight="1" x14ac:dyDescent="0.25">
      <c r="A289" s="96"/>
      <c r="B289" s="238"/>
      <c r="C289" s="93"/>
      <c r="D289" s="92"/>
      <c r="E289" s="270"/>
      <c r="F289" s="273"/>
      <c r="G289" s="274"/>
      <c r="H289" s="279"/>
      <c r="I289" s="280"/>
      <c r="J289" s="281"/>
      <c r="K289" s="283"/>
      <c r="L289" s="273"/>
      <c r="M289" s="274"/>
      <c r="N289" s="139"/>
      <c r="O289" s="281"/>
    </row>
    <row r="290" spans="1:15" ht="17.850000000000001" customHeight="1" x14ac:dyDescent="0.25">
      <c r="A290" s="96"/>
      <c r="B290" s="238"/>
      <c r="C290" s="93"/>
      <c r="D290" s="92"/>
      <c r="E290" s="270"/>
      <c r="F290" s="273"/>
      <c r="G290" s="274"/>
      <c r="H290" s="279"/>
      <c r="I290" s="280"/>
      <c r="J290" s="281"/>
      <c r="K290" s="283"/>
      <c r="L290" s="273"/>
      <c r="M290" s="274"/>
      <c r="N290" s="139"/>
      <c r="O290" s="281"/>
    </row>
    <row r="291" spans="1:15" ht="17.850000000000001" customHeight="1" x14ac:dyDescent="0.25">
      <c r="A291" s="96"/>
      <c r="B291" s="238"/>
      <c r="C291" s="93"/>
      <c r="D291" s="92"/>
      <c r="E291" s="270"/>
      <c r="F291" s="273"/>
      <c r="G291" s="274"/>
      <c r="H291" s="279"/>
      <c r="I291" s="280"/>
      <c r="J291" s="281"/>
      <c r="K291" s="283"/>
      <c r="L291" s="273"/>
      <c r="M291" s="274"/>
      <c r="N291" s="139"/>
      <c r="O291" s="281"/>
    </row>
    <row r="292" spans="1:15" ht="17.850000000000001" customHeight="1" x14ac:dyDescent="0.25">
      <c r="A292" s="96"/>
      <c r="B292" s="238"/>
      <c r="C292" s="93"/>
      <c r="D292" s="92"/>
      <c r="E292" s="270"/>
      <c r="F292" s="273"/>
      <c r="G292" s="274"/>
      <c r="H292" s="279"/>
      <c r="I292" s="280"/>
      <c r="J292" s="281"/>
      <c r="K292" s="283"/>
      <c r="L292" s="273"/>
      <c r="M292" s="274"/>
      <c r="N292" s="139"/>
      <c r="O292" s="281"/>
    </row>
    <row r="293" spans="1:15" ht="17.850000000000001" customHeight="1" x14ac:dyDescent="0.25">
      <c r="A293" s="96"/>
      <c r="B293" s="238"/>
      <c r="C293" s="93"/>
      <c r="D293" s="92"/>
      <c r="E293" s="270"/>
      <c r="F293" s="273"/>
      <c r="G293" s="274"/>
      <c r="H293" s="279"/>
      <c r="I293" s="280"/>
      <c r="J293" s="281"/>
      <c r="K293" s="283"/>
      <c r="L293" s="273"/>
      <c r="M293" s="274"/>
      <c r="N293" s="139"/>
      <c r="O293" s="281"/>
    </row>
    <row r="294" spans="1:15" ht="17.850000000000001" customHeight="1" x14ac:dyDescent="0.25">
      <c r="A294" s="96"/>
      <c r="B294" s="238"/>
      <c r="C294" s="93"/>
      <c r="D294" s="92"/>
      <c r="E294" s="270"/>
      <c r="F294" s="273"/>
      <c r="G294" s="274"/>
      <c r="H294" s="279"/>
      <c r="I294" s="280"/>
      <c r="J294" s="281"/>
      <c r="K294" s="283"/>
      <c r="L294" s="273"/>
      <c r="M294" s="274"/>
      <c r="N294" s="139"/>
      <c r="O294" s="281"/>
    </row>
    <row r="295" spans="1:15" ht="17.850000000000001" customHeight="1" x14ac:dyDescent="0.25">
      <c r="A295" s="96"/>
      <c r="B295" s="238"/>
      <c r="C295" s="93"/>
      <c r="D295" s="92"/>
      <c r="E295" s="270"/>
      <c r="F295" s="273"/>
      <c r="G295" s="274"/>
      <c r="H295" s="279"/>
      <c r="I295" s="280"/>
      <c r="J295" s="281"/>
      <c r="K295" s="283"/>
      <c r="L295" s="273"/>
      <c r="M295" s="274"/>
      <c r="N295" s="139"/>
      <c r="O295" s="281"/>
    </row>
    <row r="296" spans="1:15" ht="17.850000000000001" customHeight="1" x14ac:dyDescent="0.25">
      <c r="A296" s="96"/>
      <c r="B296" s="238"/>
      <c r="C296" s="93"/>
      <c r="D296" s="92"/>
      <c r="E296" s="270"/>
      <c r="F296" s="273"/>
      <c r="G296" s="274"/>
      <c r="H296" s="279"/>
      <c r="I296" s="280"/>
      <c r="J296" s="281"/>
      <c r="K296" s="283"/>
      <c r="L296" s="273"/>
      <c r="M296" s="274"/>
      <c r="N296" s="139"/>
      <c r="O296" s="281"/>
    </row>
    <row r="297" spans="1:15" ht="17.850000000000001" customHeight="1" x14ac:dyDescent="0.25">
      <c r="A297" s="96"/>
      <c r="B297" s="238"/>
      <c r="C297" s="93"/>
      <c r="D297" s="92"/>
      <c r="E297" s="270"/>
      <c r="F297" s="273"/>
      <c r="G297" s="274"/>
      <c r="H297" s="279"/>
      <c r="I297" s="280"/>
      <c r="J297" s="281"/>
      <c r="K297" s="283"/>
      <c r="L297" s="273"/>
      <c r="M297" s="274"/>
      <c r="N297" s="139"/>
      <c r="O297" s="281"/>
    </row>
    <row r="298" spans="1:15" ht="17.850000000000001" customHeight="1" x14ac:dyDescent="0.25">
      <c r="A298" s="96"/>
      <c r="B298" s="238"/>
      <c r="C298" s="93"/>
      <c r="D298" s="92"/>
      <c r="E298" s="270"/>
      <c r="F298" s="273"/>
      <c r="G298" s="274"/>
      <c r="H298" s="279"/>
      <c r="I298" s="280"/>
      <c r="J298" s="281"/>
      <c r="K298" s="283"/>
      <c r="L298" s="273"/>
      <c r="M298" s="274"/>
      <c r="N298" s="139"/>
      <c r="O298" s="281"/>
    </row>
    <row r="299" spans="1:15" ht="17.850000000000001" customHeight="1" x14ac:dyDescent="0.25">
      <c r="A299" s="96"/>
      <c r="B299" s="238"/>
      <c r="C299" s="93"/>
      <c r="D299" s="92"/>
      <c r="E299" s="270"/>
      <c r="F299" s="273"/>
      <c r="G299" s="274"/>
      <c r="H299" s="279"/>
      <c r="I299" s="280"/>
      <c r="J299" s="281"/>
      <c r="K299" s="283"/>
      <c r="L299" s="273"/>
      <c r="M299" s="274"/>
      <c r="N299" s="139"/>
      <c r="O299" s="281"/>
    </row>
    <row r="300" spans="1:15" ht="17.850000000000001" customHeight="1" x14ac:dyDescent="0.25">
      <c r="A300" s="96"/>
      <c r="B300" s="238"/>
      <c r="C300" s="93"/>
      <c r="D300" s="92"/>
      <c r="E300" s="270"/>
      <c r="F300" s="273"/>
      <c r="G300" s="274"/>
      <c r="H300" s="279"/>
      <c r="I300" s="280"/>
      <c r="J300" s="281"/>
      <c r="K300" s="283"/>
      <c r="L300" s="273"/>
      <c r="M300" s="274"/>
      <c r="N300" s="139"/>
      <c r="O300" s="281"/>
    </row>
    <row r="301" spans="1:15" ht="17.850000000000001" customHeight="1" x14ac:dyDescent="0.25">
      <c r="A301" s="96"/>
      <c r="B301" s="238"/>
      <c r="C301" s="93"/>
      <c r="D301" s="92"/>
      <c r="E301" s="270"/>
      <c r="F301" s="273"/>
      <c r="G301" s="274"/>
      <c r="H301" s="279"/>
      <c r="I301" s="280"/>
      <c r="J301" s="281"/>
      <c r="K301" s="283"/>
      <c r="L301" s="273"/>
      <c r="M301" s="274"/>
      <c r="N301" s="139"/>
      <c r="O301" s="281"/>
    </row>
    <row r="302" spans="1:15" ht="17.850000000000001" customHeight="1" x14ac:dyDescent="0.25">
      <c r="A302" s="96"/>
      <c r="B302" s="238"/>
      <c r="C302" s="93"/>
      <c r="D302" s="92"/>
      <c r="E302" s="270"/>
      <c r="F302" s="273"/>
      <c r="G302" s="274"/>
      <c r="H302" s="279"/>
      <c r="I302" s="280"/>
      <c r="J302" s="281"/>
      <c r="K302" s="283"/>
      <c r="L302" s="273"/>
      <c r="M302" s="274"/>
      <c r="N302" s="139"/>
      <c r="O302" s="281"/>
    </row>
    <row r="303" spans="1:15" ht="17.850000000000001" customHeight="1" x14ac:dyDescent="0.25">
      <c r="A303" s="96"/>
      <c r="B303" s="238"/>
      <c r="C303" s="93"/>
      <c r="D303" s="92"/>
      <c r="E303" s="270"/>
      <c r="F303" s="273"/>
      <c r="G303" s="274"/>
      <c r="H303" s="279"/>
      <c r="I303" s="280"/>
      <c r="J303" s="281"/>
      <c r="K303" s="283"/>
      <c r="L303" s="273"/>
      <c r="M303" s="274"/>
      <c r="N303" s="139"/>
      <c r="O303" s="281"/>
    </row>
    <row r="304" spans="1:15" ht="17.850000000000001" customHeight="1" x14ac:dyDescent="0.25">
      <c r="A304" s="96"/>
      <c r="B304" s="238"/>
      <c r="C304" s="93"/>
      <c r="D304" s="92"/>
      <c r="E304" s="270"/>
      <c r="F304" s="273"/>
      <c r="G304" s="274"/>
      <c r="H304" s="279"/>
      <c r="I304" s="280"/>
      <c r="J304" s="281"/>
      <c r="K304" s="283"/>
      <c r="L304" s="273"/>
      <c r="M304" s="274"/>
      <c r="N304" s="139"/>
      <c r="O304" s="281"/>
    </row>
    <row r="305" spans="1:15" ht="17.850000000000001" customHeight="1" x14ac:dyDescent="0.25">
      <c r="A305" s="96"/>
      <c r="B305" s="238"/>
      <c r="C305" s="93"/>
      <c r="D305" s="92"/>
      <c r="E305" s="270"/>
      <c r="F305" s="273"/>
      <c r="G305" s="274"/>
      <c r="H305" s="279"/>
      <c r="I305" s="280"/>
      <c r="J305" s="281"/>
      <c r="K305" s="283"/>
      <c r="L305" s="273"/>
      <c r="M305" s="274"/>
      <c r="N305" s="139"/>
      <c r="O305" s="281"/>
    </row>
    <row r="306" spans="1:15" ht="17.850000000000001" customHeight="1" x14ac:dyDescent="0.25">
      <c r="A306" s="96"/>
      <c r="B306" s="238"/>
      <c r="C306" s="93"/>
      <c r="D306" s="92"/>
      <c r="E306" s="270"/>
      <c r="F306" s="273"/>
      <c r="G306" s="274"/>
      <c r="H306" s="279"/>
      <c r="I306" s="280"/>
      <c r="J306" s="281"/>
      <c r="K306" s="283"/>
      <c r="L306" s="273"/>
      <c r="M306" s="274"/>
      <c r="N306" s="139"/>
      <c r="O306" s="281"/>
    </row>
    <row r="307" spans="1:15" ht="17.850000000000001" customHeight="1" x14ac:dyDescent="0.25">
      <c r="A307" s="96"/>
      <c r="B307" s="238"/>
      <c r="C307" s="93"/>
      <c r="D307" s="92"/>
      <c r="E307" s="270"/>
      <c r="F307" s="273"/>
      <c r="G307" s="274"/>
      <c r="H307" s="279"/>
      <c r="I307" s="280"/>
      <c r="J307" s="281"/>
      <c r="K307" s="283"/>
      <c r="L307" s="273"/>
      <c r="M307" s="274"/>
      <c r="N307" s="139"/>
      <c r="O307" s="281"/>
    </row>
    <row r="308" spans="1:15" ht="17.850000000000001" customHeight="1" x14ac:dyDescent="0.25">
      <c r="A308" s="96"/>
      <c r="B308" s="238"/>
      <c r="C308" s="93"/>
      <c r="D308" s="92"/>
      <c r="E308" s="270"/>
      <c r="F308" s="273"/>
      <c r="G308" s="274"/>
      <c r="H308" s="279"/>
      <c r="I308" s="280"/>
      <c r="J308" s="281"/>
      <c r="K308" s="283"/>
      <c r="L308" s="273"/>
      <c r="M308" s="274"/>
      <c r="N308" s="139"/>
      <c r="O308" s="281"/>
    </row>
    <row r="309" spans="1:15" ht="17.850000000000001" customHeight="1" x14ac:dyDescent="0.25">
      <c r="A309" s="96"/>
      <c r="B309" s="238"/>
      <c r="C309" s="93"/>
      <c r="D309" s="92"/>
      <c r="E309" s="270"/>
      <c r="F309" s="273"/>
      <c r="G309" s="274"/>
      <c r="H309" s="279"/>
      <c r="I309" s="280"/>
      <c r="J309" s="281"/>
      <c r="K309" s="283"/>
      <c r="L309" s="273"/>
      <c r="M309" s="274"/>
      <c r="N309" s="139"/>
      <c r="O309" s="281"/>
    </row>
    <row r="310" spans="1:15" ht="17.850000000000001" customHeight="1" x14ac:dyDescent="0.25">
      <c r="A310" s="96"/>
      <c r="B310" s="238"/>
      <c r="C310" s="93"/>
      <c r="D310" s="92"/>
      <c r="E310" s="270"/>
      <c r="F310" s="273"/>
      <c r="G310" s="274"/>
      <c r="H310" s="279"/>
      <c r="I310" s="280"/>
      <c r="J310" s="281"/>
      <c r="K310" s="283"/>
      <c r="L310" s="273"/>
      <c r="M310" s="274"/>
      <c r="N310" s="139"/>
      <c r="O310" s="281"/>
    </row>
    <row r="311" spans="1:15" ht="17.850000000000001" customHeight="1" x14ac:dyDescent="0.25">
      <c r="A311" s="96"/>
      <c r="B311" s="238"/>
      <c r="C311" s="93"/>
      <c r="D311" s="92"/>
      <c r="E311" s="270"/>
      <c r="F311" s="273"/>
      <c r="G311" s="274"/>
      <c r="H311" s="279"/>
      <c r="I311" s="280"/>
      <c r="J311" s="281"/>
      <c r="K311" s="283"/>
      <c r="L311" s="273"/>
      <c r="M311" s="274"/>
      <c r="N311" s="139"/>
      <c r="O311" s="281"/>
    </row>
    <row r="312" spans="1:15" ht="17.850000000000001" customHeight="1" x14ac:dyDescent="0.25">
      <c r="A312" s="96"/>
      <c r="B312" s="238"/>
      <c r="C312" s="93"/>
      <c r="D312" s="92"/>
      <c r="E312" s="270"/>
      <c r="F312" s="273"/>
      <c r="G312" s="274"/>
      <c r="H312" s="279"/>
      <c r="I312" s="280"/>
      <c r="J312" s="281"/>
      <c r="K312" s="283"/>
      <c r="L312" s="273"/>
      <c r="M312" s="274"/>
      <c r="N312" s="139"/>
      <c r="O312" s="281"/>
    </row>
    <row r="313" spans="1:15" ht="17.850000000000001" customHeight="1" x14ac:dyDescent="0.25">
      <c r="A313" s="96"/>
      <c r="B313" s="238"/>
      <c r="C313" s="93"/>
      <c r="D313" s="92"/>
      <c r="E313" s="270"/>
      <c r="F313" s="273"/>
      <c r="G313" s="274"/>
      <c r="H313" s="279"/>
      <c r="I313" s="280"/>
      <c r="J313" s="281"/>
      <c r="K313" s="283"/>
      <c r="L313" s="273"/>
      <c r="M313" s="274"/>
      <c r="N313" s="139"/>
      <c r="O313" s="281"/>
    </row>
    <row r="314" spans="1:15" ht="17.850000000000001" customHeight="1" x14ac:dyDescent="0.25">
      <c r="A314" s="96"/>
      <c r="B314" s="238"/>
      <c r="C314" s="93"/>
      <c r="D314" s="92"/>
      <c r="E314" s="270"/>
      <c r="F314" s="273"/>
      <c r="G314" s="274"/>
      <c r="H314" s="279"/>
      <c r="I314" s="280"/>
      <c r="J314" s="281"/>
      <c r="K314" s="283"/>
      <c r="L314" s="273"/>
      <c r="M314" s="274"/>
      <c r="N314" s="139"/>
      <c r="O314" s="281"/>
    </row>
    <row r="315" spans="1:15" ht="17.850000000000001" customHeight="1" x14ac:dyDescent="0.25">
      <c r="A315" s="96"/>
      <c r="B315" s="238"/>
      <c r="C315" s="93"/>
      <c r="D315" s="92"/>
      <c r="E315" s="270"/>
      <c r="F315" s="273"/>
      <c r="G315" s="274"/>
      <c r="H315" s="279"/>
      <c r="I315" s="280"/>
      <c r="J315" s="281"/>
      <c r="K315" s="283"/>
      <c r="L315" s="273"/>
      <c r="M315" s="274"/>
      <c r="N315" s="139"/>
      <c r="O315" s="281"/>
    </row>
    <row r="316" spans="1:15" ht="17.850000000000001" customHeight="1" x14ac:dyDescent="0.25">
      <c r="A316" s="96"/>
      <c r="B316" s="238"/>
      <c r="C316" s="93"/>
      <c r="D316" s="92"/>
      <c r="E316" s="270"/>
      <c r="F316" s="273"/>
      <c r="G316" s="274"/>
      <c r="H316" s="279"/>
      <c r="I316" s="280"/>
      <c r="J316" s="281"/>
      <c r="K316" s="283"/>
      <c r="L316" s="273"/>
      <c r="M316" s="274"/>
      <c r="N316" s="139"/>
      <c r="O316" s="281"/>
    </row>
    <row r="317" spans="1:15" ht="17.850000000000001" customHeight="1" x14ac:dyDescent="0.25">
      <c r="A317" s="96"/>
      <c r="B317" s="238"/>
      <c r="C317" s="93"/>
      <c r="D317" s="92"/>
      <c r="E317" s="270"/>
      <c r="F317" s="273"/>
      <c r="G317" s="274"/>
      <c r="H317" s="279"/>
      <c r="I317" s="280"/>
      <c r="J317" s="281"/>
      <c r="K317" s="283"/>
      <c r="L317" s="273"/>
      <c r="M317" s="274"/>
      <c r="N317" s="139"/>
      <c r="O317" s="281"/>
    </row>
    <row r="318" spans="1:15" ht="17.850000000000001" customHeight="1" x14ac:dyDescent="0.25">
      <c r="A318" s="96"/>
      <c r="B318" s="238"/>
      <c r="C318" s="93"/>
      <c r="D318" s="92"/>
      <c r="E318" s="270"/>
      <c r="F318" s="273"/>
      <c r="G318" s="274"/>
      <c r="H318" s="279"/>
      <c r="I318" s="280"/>
      <c r="J318" s="281"/>
      <c r="K318" s="283"/>
      <c r="L318" s="273"/>
      <c r="M318" s="274"/>
      <c r="N318" s="139"/>
      <c r="O318" s="281"/>
    </row>
    <row r="319" spans="1:15" ht="17.850000000000001" customHeight="1" x14ac:dyDescent="0.25">
      <c r="A319" s="96"/>
      <c r="B319" s="238"/>
      <c r="C319" s="93"/>
      <c r="D319" s="92"/>
      <c r="E319" s="270"/>
      <c r="F319" s="273"/>
      <c r="G319" s="274"/>
      <c r="H319" s="279"/>
      <c r="I319" s="280"/>
      <c r="J319" s="281"/>
      <c r="K319" s="283"/>
      <c r="L319" s="273"/>
      <c r="M319" s="274"/>
      <c r="N319" s="139"/>
      <c r="O319" s="281"/>
    </row>
    <row r="320" spans="1:15" ht="17.850000000000001" customHeight="1" x14ac:dyDescent="0.25">
      <c r="A320" s="96"/>
      <c r="B320" s="238"/>
      <c r="C320" s="93"/>
      <c r="D320" s="92"/>
      <c r="E320" s="270"/>
      <c r="F320" s="273"/>
      <c r="G320" s="274"/>
      <c r="H320" s="279"/>
      <c r="I320" s="280"/>
      <c r="J320" s="281"/>
      <c r="K320" s="283"/>
      <c r="L320" s="273"/>
      <c r="M320" s="274"/>
      <c r="N320" s="139"/>
      <c r="O320" s="281"/>
    </row>
    <row r="321" spans="1:15" ht="17.850000000000001" customHeight="1" x14ac:dyDescent="0.25">
      <c r="A321" s="96"/>
      <c r="B321" s="238"/>
      <c r="C321" s="93"/>
      <c r="D321" s="92"/>
      <c r="E321" s="270"/>
      <c r="F321" s="273"/>
      <c r="G321" s="274"/>
      <c r="H321" s="279"/>
      <c r="I321" s="280"/>
      <c r="J321" s="281"/>
      <c r="K321" s="283"/>
      <c r="L321" s="273"/>
      <c r="M321" s="274"/>
      <c r="N321" s="139"/>
      <c r="O321" s="281"/>
    </row>
    <row r="322" spans="1:15" ht="17.850000000000001" customHeight="1" x14ac:dyDescent="0.25">
      <c r="A322" s="96"/>
      <c r="B322" s="238"/>
      <c r="C322" s="93"/>
      <c r="D322" s="92"/>
      <c r="E322" s="270"/>
      <c r="F322" s="273"/>
      <c r="G322" s="274"/>
      <c r="H322" s="279"/>
      <c r="I322" s="280"/>
      <c r="J322" s="281"/>
      <c r="K322" s="283"/>
      <c r="L322" s="273"/>
      <c r="M322" s="274"/>
      <c r="N322" s="139"/>
      <c r="O322" s="281"/>
    </row>
    <row r="323" spans="1:15" ht="17.850000000000001" customHeight="1" x14ac:dyDescent="0.25">
      <c r="A323" s="96"/>
      <c r="B323" s="238"/>
      <c r="C323" s="93"/>
      <c r="D323" s="92"/>
      <c r="E323" s="270"/>
      <c r="F323" s="273"/>
      <c r="G323" s="274"/>
      <c r="H323" s="279"/>
      <c r="I323" s="280"/>
      <c r="J323" s="281"/>
      <c r="K323" s="283"/>
      <c r="L323" s="273"/>
      <c r="M323" s="274"/>
      <c r="N323" s="139"/>
      <c r="O323" s="281"/>
    </row>
    <row r="324" spans="1:15" ht="17.850000000000001" customHeight="1" x14ac:dyDescent="0.25">
      <c r="A324" s="96"/>
      <c r="B324" s="238"/>
      <c r="C324" s="93"/>
      <c r="D324" s="92"/>
      <c r="E324" s="270"/>
      <c r="F324" s="273"/>
      <c r="G324" s="274"/>
      <c r="H324" s="279"/>
      <c r="I324" s="280"/>
      <c r="J324" s="281"/>
      <c r="K324" s="283"/>
      <c r="L324" s="273"/>
      <c r="M324" s="274"/>
      <c r="N324" s="139"/>
      <c r="O324" s="281"/>
    </row>
    <row r="325" spans="1:15" ht="17.850000000000001" customHeight="1" x14ac:dyDescent="0.25">
      <c r="A325" s="96"/>
      <c r="B325" s="238"/>
      <c r="C325" s="93"/>
      <c r="D325" s="92"/>
      <c r="E325" s="270"/>
      <c r="F325" s="273"/>
      <c r="G325" s="274"/>
      <c r="H325" s="279"/>
      <c r="I325" s="280"/>
      <c r="J325" s="281"/>
      <c r="K325" s="283"/>
      <c r="L325" s="273"/>
      <c r="M325" s="274"/>
      <c r="N325" s="139"/>
      <c r="O325" s="281"/>
    </row>
    <row r="326" spans="1:15" ht="17.850000000000001" customHeight="1" x14ac:dyDescent="0.25">
      <c r="A326" s="96"/>
      <c r="B326" s="238"/>
      <c r="C326" s="93"/>
      <c r="D326" s="92"/>
      <c r="E326" s="270"/>
      <c r="F326" s="273"/>
      <c r="G326" s="274"/>
      <c r="H326" s="279"/>
      <c r="I326" s="280"/>
      <c r="J326" s="281"/>
      <c r="K326" s="283"/>
      <c r="L326" s="273"/>
      <c r="M326" s="274"/>
      <c r="N326" s="139"/>
      <c r="O326" s="281"/>
    </row>
    <row r="327" spans="1:15" ht="17.850000000000001" customHeight="1" x14ac:dyDescent="0.25">
      <c r="A327" s="96"/>
      <c r="B327" s="238"/>
      <c r="C327" s="93"/>
      <c r="D327" s="92"/>
      <c r="E327" s="270"/>
      <c r="F327" s="273"/>
      <c r="G327" s="274"/>
      <c r="H327" s="279"/>
      <c r="I327" s="280"/>
      <c r="J327" s="281"/>
      <c r="K327" s="283"/>
      <c r="L327" s="273"/>
      <c r="M327" s="274"/>
      <c r="N327" s="139"/>
      <c r="O327" s="281"/>
    </row>
    <row r="328" spans="1:15" ht="17.850000000000001" customHeight="1" x14ac:dyDescent="0.25">
      <c r="A328" s="96"/>
      <c r="B328" s="238"/>
      <c r="C328" s="93"/>
      <c r="D328" s="92"/>
      <c r="E328" s="270"/>
      <c r="F328" s="273"/>
      <c r="G328" s="274"/>
      <c r="H328" s="279"/>
      <c r="I328" s="280"/>
      <c r="J328" s="281"/>
      <c r="K328" s="283"/>
      <c r="L328" s="273"/>
      <c r="M328" s="274"/>
      <c r="N328" s="139"/>
      <c r="O328" s="281"/>
    </row>
    <row r="329" spans="1:15" ht="17.850000000000001" customHeight="1" x14ac:dyDescent="0.25">
      <c r="A329" s="96"/>
      <c r="B329" s="238"/>
      <c r="C329" s="93"/>
      <c r="D329" s="92"/>
      <c r="E329" s="270"/>
      <c r="F329" s="273"/>
      <c r="G329" s="274"/>
      <c r="H329" s="279"/>
      <c r="I329" s="280"/>
      <c r="J329" s="281"/>
      <c r="K329" s="283"/>
      <c r="L329" s="273"/>
      <c r="M329" s="274"/>
      <c r="N329" s="139"/>
      <c r="O329" s="281"/>
    </row>
    <row r="330" spans="1:15" ht="17.850000000000001" customHeight="1" x14ac:dyDescent="0.25">
      <c r="A330" s="96"/>
      <c r="B330" s="238"/>
      <c r="C330" s="93"/>
      <c r="D330" s="92"/>
      <c r="E330" s="270"/>
      <c r="F330" s="273"/>
      <c r="G330" s="274"/>
      <c r="H330" s="279"/>
      <c r="I330" s="280"/>
      <c r="J330" s="281"/>
      <c r="K330" s="283"/>
      <c r="L330" s="273"/>
      <c r="M330" s="274"/>
      <c r="N330" s="139"/>
      <c r="O330" s="281"/>
    </row>
    <row r="331" spans="1:15" ht="17.850000000000001" customHeight="1" x14ac:dyDescent="0.25">
      <c r="A331" s="96"/>
      <c r="B331" s="238"/>
      <c r="C331" s="93"/>
      <c r="D331" s="92"/>
      <c r="E331" s="270"/>
      <c r="F331" s="273"/>
      <c r="G331" s="274"/>
      <c r="H331" s="279"/>
      <c r="I331" s="280"/>
      <c r="J331" s="281"/>
      <c r="K331" s="283"/>
      <c r="L331" s="273"/>
      <c r="M331" s="274"/>
      <c r="N331" s="139"/>
      <c r="O331" s="281"/>
    </row>
    <row r="332" spans="1:15" ht="17.850000000000001" customHeight="1" x14ac:dyDescent="0.25">
      <c r="A332" s="96"/>
      <c r="B332" s="238"/>
      <c r="C332" s="93"/>
      <c r="D332" s="92"/>
      <c r="E332" s="270"/>
      <c r="F332" s="273"/>
      <c r="G332" s="274"/>
      <c r="H332" s="279"/>
      <c r="I332" s="280"/>
      <c r="J332" s="281"/>
      <c r="K332" s="283"/>
      <c r="L332" s="273"/>
      <c r="M332" s="274"/>
      <c r="N332" s="139"/>
      <c r="O332" s="281"/>
    </row>
    <row r="333" spans="1:15" ht="17.850000000000001" customHeight="1" x14ac:dyDescent="0.25">
      <c r="A333" s="96"/>
      <c r="B333" s="238"/>
      <c r="C333" s="93"/>
      <c r="D333" s="92"/>
      <c r="E333" s="270"/>
      <c r="F333" s="273"/>
      <c r="G333" s="274"/>
      <c r="H333" s="279"/>
      <c r="I333" s="280"/>
      <c r="J333" s="281"/>
      <c r="K333" s="283"/>
      <c r="L333" s="273"/>
      <c r="M333" s="274"/>
      <c r="N333" s="139"/>
      <c r="O333" s="281"/>
    </row>
    <row r="334" spans="1:15" ht="17.850000000000001" customHeight="1" x14ac:dyDescent="0.25">
      <c r="A334" s="96"/>
      <c r="B334" s="238"/>
      <c r="C334" s="93"/>
      <c r="D334" s="92"/>
      <c r="E334" s="270"/>
      <c r="F334" s="273"/>
      <c r="G334" s="274"/>
      <c r="H334" s="279"/>
      <c r="I334" s="280"/>
      <c r="J334" s="281"/>
      <c r="K334" s="283"/>
      <c r="L334" s="273"/>
      <c r="M334" s="274"/>
      <c r="N334" s="139"/>
      <c r="O334" s="281"/>
    </row>
    <row r="335" spans="1:15" ht="17.850000000000001" customHeight="1" x14ac:dyDescent="0.25">
      <c r="A335" s="96"/>
      <c r="B335" s="238"/>
      <c r="C335" s="93"/>
      <c r="D335" s="92"/>
      <c r="E335" s="270"/>
      <c r="F335" s="273"/>
      <c r="G335" s="274"/>
      <c r="H335" s="279"/>
      <c r="I335" s="280"/>
      <c r="J335" s="281"/>
      <c r="K335" s="283"/>
      <c r="L335" s="273"/>
      <c r="M335" s="274"/>
      <c r="N335" s="139"/>
      <c r="O335" s="281"/>
    </row>
    <row r="336" spans="1:15" ht="17.850000000000001" customHeight="1" x14ac:dyDescent="0.25">
      <c r="A336" s="96"/>
      <c r="B336" s="238"/>
      <c r="C336" s="93"/>
      <c r="D336" s="92"/>
      <c r="E336" s="270"/>
      <c r="F336" s="273"/>
      <c r="G336" s="274"/>
      <c r="H336" s="279"/>
      <c r="I336" s="280"/>
      <c r="J336" s="281"/>
      <c r="K336" s="283"/>
      <c r="L336" s="273"/>
      <c r="M336" s="274"/>
      <c r="N336" s="139"/>
      <c r="O336" s="281"/>
    </row>
    <row r="337" spans="1:15" ht="17.850000000000001" customHeight="1" x14ac:dyDescent="0.25">
      <c r="A337" s="96"/>
      <c r="B337" s="238"/>
      <c r="C337" s="93"/>
      <c r="D337" s="92"/>
      <c r="E337" s="270"/>
      <c r="F337" s="273"/>
      <c r="G337" s="274"/>
      <c r="H337" s="279"/>
      <c r="I337" s="280"/>
      <c r="J337" s="281"/>
      <c r="K337" s="283"/>
      <c r="L337" s="273"/>
      <c r="M337" s="274"/>
      <c r="N337" s="139"/>
      <c r="O337" s="281"/>
    </row>
    <row r="338" spans="1:15" ht="17.850000000000001" customHeight="1" x14ac:dyDescent="0.25">
      <c r="A338" s="96"/>
      <c r="B338" s="238"/>
      <c r="C338" s="93"/>
      <c r="D338" s="92"/>
      <c r="E338" s="270"/>
      <c r="F338" s="273"/>
      <c r="G338" s="274"/>
      <c r="H338" s="279"/>
      <c r="I338" s="280"/>
      <c r="J338" s="281"/>
      <c r="K338" s="283"/>
      <c r="L338" s="273"/>
      <c r="M338" s="274"/>
      <c r="N338" s="139"/>
      <c r="O338" s="281"/>
    </row>
    <row r="339" spans="1:15" ht="17.850000000000001" customHeight="1" x14ac:dyDescent="0.25">
      <c r="A339" s="96"/>
      <c r="B339" s="238"/>
      <c r="C339" s="93"/>
      <c r="D339" s="92"/>
      <c r="E339" s="270"/>
      <c r="F339" s="273"/>
      <c r="G339" s="274"/>
      <c r="H339" s="279"/>
      <c r="I339" s="280"/>
      <c r="J339" s="281"/>
      <c r="K339" s="283"/>
      <c r="L339" s="273"/>
      <c r="M339" s="274"/>
      <c r="N339" s="139"/>
      <c r="O339" s="281"/>
    </row>
    <row r="340" spans="1:15" ht="17.850000000000001" customHeight="1" x14ac:dyDescent="0.25">
      <c r="A340" s="96"/>
      <c r="B340" s="238"/>
      <c r="C340" s="93"/>
      <c r="D340" s="92"/>
      <c r="E340" s="270"/>
      <c r="F340" s="273"/>
      <c r="G340" s="274"/>
      <c r="H340" s="279"/>
      <c r="I340" s="280"/>
      <c r="J340" s="281"/>
      <c r="K340" s="283"/>
      <c r="L340" s="273"/>
      <c r="M340" s="274"/>
      <c r="N340" s="139"/>
      <c r="O340" s="281"/>
    </row>
    <row r="341" spans="1:15" ht="17.850000000000001" customHeight="1" x14ac:dyDescent="0.25">
      <c r="A341" s="96"/>
      <c r="B341" s="238"/>
      <c r="C341" s="93"/>
      <c r="D341" s="92"/>
      <c r="E341" s="270"/>
      <c r="F341" s="273"/>
      <c r="G341" s="274"/>
      <c r="H341" s="279"/>
      <c r="I341" s="280"/>
      <c r="J341" s="281"/>
      <c r="K341" s="283"/>
      <c r="L341" s="273"/>
      <c r="M341" s="274"/>
      <c r="N341" s="139"/>
      <c r="O341" s="281"/>
    </row>
    <row r="342" spans="1:15" ht="17.850000000000001" customHeight="1" x14ac:dyDescent="0.25">
      <c r="A342" s="96"/>
      <c r="B342" s="238"/>
      <c r="C342" s="93"/>
      <c r="D342" s="92"/>
      <c r="E342" s="270"/>
      <c r="F342" s="273"/>
      <c r="G342" s="274"/>
      <c r="H342" s="279"/>
      <c r="I342" s="280"/>
      <c r="J342" s="281"/>
      <c r="K342" s="283"/>
      <c r="L342" s="273"/>
      <c r="M342" s="274"/>
      <c r="N342" s="139"/>
      <c r="O342" s="281"/>
    </row>
    <row r="343" spans="1:15" ht="17.850000000000001" customHeight="1" x14ac:dyDescent="0.25">
      <c r="A343" s="96"/>
      <c r="B343" s="238"/>
      <c r="C343" s="93"/>
      <c r="D343" s="92"/>
      <c r="E343" s="270"/>
      <c r="F343" s="273"/>
      <c r="G343" s="274"/>
      <c r="H343" s="279"/>
      <c r="I343" s="280"/>
      <c r="J343" s="281"/>
      <c r="K343" s="283"/>
      <c r="L343" s="273"/>
      <c r="M343" s="274"/>
      <c r="N343" s="139"/>
      <c r="O343" s="281"/>
    </row>
    <row r="344" spans="1:15" ht="17.850000000000001" customHeight="1" x14ac:dyDescent="0.25">
      <c r="A344" s="96"/>
      <c r="B344" s="238"/>
      <c r="C344" s="93"/>
      <c r="D344" s="92"/>
      <c r="E344" s="270"/>
      <c r="F344" s="273"/>
      <c r="G344" s="274"/>
      <c r="H344" s="279"/>
      <c r="I344" s="280"/>
      <c r="J344" s="281"/>
      <c r="K344" s="283"/>
      <c r="L344" s="273"/>
      <c r="M344" s="274"/>
      <c r="N344" s="139"/>
      <c r="O344" s="281"/>
    </row>
    <row r="345" spans="1:15" ht="17.850000000000001" customHeight="1" x14ac:dyDescent="0.25">
      <c r="A345" s="96"/>
      <c r="B345" s="238"/>
      <c r="C345" s="93"/>
      <c r="D345" s="92"/>
      <c r="E345" s="270"/>
      <c r="F345" s="273"/>
      <c r="G345" s="274"/>
      <c r="H345" s="279"/>
      <c r="I345" s="280"/>
      <c r="J345" s="281"/>
      <c r="K345" s="283"/>
      <c r="L345" s="273"/>
      <c r="M345" s="274"/>
      <c r="N345" s="139"/>
      <c r="O345" s="281"/>
    </row>
    <row r="346" spans="1:15" ht="17.850000000000001" customHeight="1" x14ac:dyDescent="0.25">
      <c r="A346" s="96"/>
      <c r="B346" s="238"/>
      <c r="C346" s="93"/>
      <c r="D346" s="92"/>
      <c r="E346" s="270"/>
      <c r="F346" s="273"/>
      <c r="G346" s="274"/>
      <c r="H346" s="279"/>
      <c r="I346" s="280"/>
      <c r="J346" s="281"/>
      <c r="K346" s="283"/>
      <c r="L346" s="273"/>
      <c r="M346" s="274"/>
      <c r="N346" s="139"/>
      <c r="O346" s="281"/>
    </row>
    <row r="347" spans="1:15" ht="17.850000000000001" customHeight="1" x14ac:dyDescent="0.25">
      <c r="A347" s="96"/>
      <c r="B347" s="238"/>
      <c r="C347" s="93"/>
      <c r="D347" s="92"/>
      <c r="E347" s="270"/>
      <c r="F347" s="273"/>
      <c r="G347" s="274"/>
      <c r="H347" s="279"/>
      <c r="I347" s="280"/>
      <c r="J347" s="281"/>
      <c r="K347" s="283"/>
      <c r="L347" s="273"/>
      <c r="M347" s="274"/>
      <c r="N347" s="139"/>
      <c r="O347" s="281"/>
    </row>
    <row r="348" spans="1:15" ht="17.850000000000001" customHeight="1" x14ac:dyDescent="0.25">
      <c r="A348" s="96"/>
      <c r="B348" s="238"/>
      <c r="C348" s="93"/>
      <c r="D348" s="92"/>
      <c r="E348" s="270"/>
      <c r="F348" s="273"/>
      <c r="G348" s="274"/>
      <c r="H348" s="279"/>
      <c r="I348" s="280"/>
      <c r="J348" s="281"/>
      <c r="K348" s="283"/>
      <c r="L348" s="273"/>
      <c r="M348" s="274"/>
      <c r="N348" s="139"/>
      <c r="O348" s="281"/>
    </row>
    <row r="349" spans="1:15" ht="17.850000000000001" customHeight="1" x14ac:dyDescent="0.25">
      <c r="A349" s="96"/>
      <c r="B349" s="238"/>
      <c r="C349" s="93"/>
      <c r="D349" s="92"/>
      <c r="E349" s="270"/>
      <c r="F349" s="273"/>
      <c r="G349" s="274"/>
      <c r="H349" s="279"/>
      <c r="I349" s="280"/>
      <c r="J349" s="281"/>
      <c r="K349" s="283"/>
      <c r="L349" s="273"/>
      <c r="M349" s="274"/>
      <c r="N349" s="139"/>
      <c r="O349" s="281"/>
    </row>
    <row r="350" spans="1:15" ht="17.850000000000001" customHeight="1" x14ac:dyDescent="0.25">
      <c r="A350" s="96"/>
      <c r="B350" s="238"/>
      <c r="C350" s="93"/>
      <c r="D350" s="92"/>
      <c r="E350" s="270"/>
      <c r="F350" s="273"/>
      <c r="G350" s="274"/>
      <c r="H350" s="279"/>
      <c r="I350" s="280"/>
      <c r="J350" s="281"/>
      <c r="K350" s="283"/>
      <c r="L350" s="273"/>
      <c r="M350" s="274"/>
      <c r="N350" s="139"/>
      <c r="O350" s="281"/>
    </row>
    <row r="351" spans="1:15" ht="17.850000000000001" customHeight="1" x14ac:dyDescent="0.25">
      <c r="A351" s="96"/>
      <c r="B351" s="238"/>
      <c r="C351" s="93"/>
      <c r="D351" s="92"/>
      <c r="E351" s="270"/>
      <c r="F351" s="273"/>
      <c r="G351" s="274"/>
      <c r="H351" s="279"/>
      <c r="I351" s="280"/>
      <c r="J351" s="281"/>
      <c r="K351" s="283"/>
      <c r="L351" s="273"/>
      <c r="M351" s="274"/>
      <c r="N351" s="139"/>
      <c r="O351" s="281"/>
    </row>
    <row r="352" spans="1:15" ht="17.850000000000001" customHeight="1" x14ac:dyDescent="0.25">
      <c r="A352" s="96"/>
      <c r="B352" s="238"/>
      <c r="C352" s="93"/>
      <c r="D352" s="92"/>
      <c r="E352" s="270"/>
      <c r="F352" s="273"/>
      <c r="G352" s="274"/>
      <c r="H352" s="279"/>
      <c r="I352" s="280"/>
      <c r="J352" s="281"/>
      <c r="K352" s="283"/>
      <c r="L352" s="273"/>
      <c r="M352" s="274"/>
      <c r="N352" s="139"/>
      <c r="O352" s="281"/>
    </row>
    <row r="353" spans="1:15" ht="17.850000000000001" customHeight="1" x14ac:dyDescent="0.25">
      <c r="A353" s="96"/>
      <c r="B353" s="238"/>
      <c r="C353" s="93"/>
      <c r="D353" s="92"/>
      <c r="E353" s="270"/>
      <c r="F353" s="273"/>
      <c r="G353" s="274"/>
      <c r="H353" s="279"/>
      <c r="I353" s="280"/>
      <c r="J353" s="281"/>
      <c r="K353" s="283"/>
      <c r="L353" s="273"/>
      <c r="M353" s="274"/>
      <c r="N353" s="139"/>
      <c r="O353" s="281"/>
    </row>
    <row r="354" spans="1:15" ht="17.850000000000001" customHeight="1" x14ac:dyDescent="0.25">
      <c r="A354" s="96"/>
      <c r="B354" s="238"/>
      <c r="C354" s="93"/>
      <c r="D354" s="92"/>
      <c r="E354" s="270"/>
      <c r="F354" s="273"/>
      <c r="G354" s="274"/>
      <c r="H354" s="279"/>
      <c r="I354" s="280"/>
      <c r="J354" s="281"/>
      <c r="K354" s="283"/>
      <c r="L354" s="273"/>
      <c r="M354" s="274"/>
      <c r="N354" s="139"/>
      <c r="O354" s="281"/>
    </row>
    <row r="355" spans="1:15" ht="17.850000000000001" customHeight="1" x14ac:dyDescent="0.25">
      <c r="A355" s="96"/>
      <c r="B355" s="238"/>
      <c r="C355" s="93"/>
      <c r="D355" s="92"/>
      <c r="E355" s="270"/>
      <c r="F355" s="273"/>
      <c r="G355" s="274"/>
      <c r="H355" s="279"/>
      <c r="I355" s="280"/>
      <c r="J355" s="281"/>
      <c r="K355" s="283"/>
      <c r="L355" s="273"/>
      <c r="M355" s="274"/>
      <c r="N355" s="139"/>
      <c r="O355" s="281"/>
    </row>
    <row r="356" spans="1:15" ht="17.850000000000001" customHeight="1" x14ac:dyDescent="0.25">
      <c r="A356" s="96"/>
      <c r="B356" s="238"/>
      <c r="C356" s="93"/>
      <c r="D356" s="92"/>
      <c r="E356" s="270"/>
      <c r="F356" s="273"/>
      <c r="G356" s="274"/>
      <c r="H356" s="279"/>
      <c r="I356" s="280"/>
      <c r="J356" s="281"/>
      <c r="K356" s="283"/>
      <c r="L356" s="273"/>
      <c r="M356" s="274"/>
      <c r="N356" s="139"/>
      <c r="O356" s="281"/>
    </row>
    <row r="357" spans="1:15" ht="17.850000000000001" customHeight="1" x14ac:dyDescent="0.25">
      <c r="A357" s="96"/>
      <c r="B357" s="238"/>
      <c r="C357" s="93"/>
      <c r="D357" s="92"/>
      <c r="E357" s="270"/>
      <c r="F357" s="273"/>
      <c r="G357" s="274"/>
      <c r="H357" s="279"/>
      <c r="I357" s="280"/>
      <c r="J357" s="281"/>
      <c r="K357" s="283"/>
      <c r="L357" s="273"/>
      <c r="M357" s="274"/>
      <c r="N357" s="139"/>
      <c r="O357" s="281"/>
    </row>
    <row r="358" spans="1:15" ht="17.850000000000001" customHeight="1" x14ac:dyDescent="0.25">
      <c r="A358" s="96"/>
      <c r="B358" s="238"/>
      <c r="C358" s="93"/>
      <c r="D358" s="92"/>
      <c r="E358" s="270"/>
      <c r="F358" s="273"/>
      <c r="G358" s="274"/>
      <c r="H358" s="279"/>
      <c r="I358" s="280"/>
      <c r="J358" s="281"/>
      <c r="K358" s="283"/>
      <c r="L358" s="273"/>
      <c r="M358" s="274"/>
      <c r="N358" s="139"/>
      <c r="O358" s="281"/>
    </row>
    <row r="359" spans="1:15" ht="17.850000000000001" customHeight="1" x14ac:dyDescent="0.25">
      <c r="A359" s="96"/>
      <c r="B359" s="238"/>
      <c r="C359" s="93"/>
      <c r="D359" s="92"/>
      <c r="E359" s="270"/>
      <c r="F359" s="273"/>
      <c r="G359" s="274"/>
      <c r="H359" s="279"/>
      <c r="I359" s="280"/>
      <c r="J359" s="281"/>
      <c r="K359" s="283"/>
      <c r="L359" s="273"/>
      <c r="M359" s="274"/>
      <c r="N359" s="139"/>
      <c r="O359" s="281"/>
    </row>
    <row r="360" spans="1:15" ht="17.850000000000001" customHeight="1" x14ac:dyDescent="0.25">
      <c r="A360" s="96"/>
      <c r="B360" s="238"/>
      <c r="C360" s="93"/>
      <c r="D360" s="92"/>
      <c r="E360" s="270"/>
      <c r="F360" s="273"/>
      <c r="G360" s="274"/>
      <c r="H360" s="279"/>
      <c r="I360" s="280"/>
      <c r="J360" s="281"/>
      <c r="K360" s="283"/>
      <c r="L360" s="273"/>
      <c r="M360" s="274"/>
      <c r="N360" s="139"/>
      <c r="O360" s="281"/>
    </row>
    <row r="361" spans="1:15" ht="17.850000000000001" customHeight="1" x14ac:dyDescent="0.25">
      <c r="A361" s="96"/>
      <c r="B361" s="238"/>
      <c r="C361" s="93"/>
      <c r="D361" s="92"/>
      <c r="E361" s="270"/>
      <c r="F361" s="273"/>
      <c r="G361" s="274"/>
      <c r="H361" s="279"/>
      <c r="I361" s="280"/>
      <c r="J361" s="281"/>
      <c r="K361" s="283"/>
      <c r="L361" s="273"/>
      <c r="M361" s="274"/>
      <c r="N361" s="139"/>
      <c r="O361" s="281"/>
    </row>
    <row r="362" spans="1:15" ht="17.850000000000001" customHeight="1" x14ac:dyDescent="0.25">
      <c r="A362" s="96"/>
      <c r="B362" s="238"/>
      <c r="C362" s="93"/>
      <c r="D362" s="92"/>
      <c r="E362" s="270"/>
      <c r="F362" s="273"/>
      <c r="G362" s="274"/>
      <c r="H362" s="279"/>
      <c r="I362" s="280"/>
      <c r="J362" s="281"/>
      <c r="K362" s="283"/>
      <c r="L362" s="273"/>
      <c r="M362" s="274"/>
      <c r="N362" s="139"/>
      <c r="O362" s="281"/>
    </row>
    <row r="363" spans="1:15" ht="17.850000000000001" customHeight="1" x14ac:dyDescent="0.25">
      <c r="A363" s="96"/>
      <c r="B363" s="238"/>
      <c r="C363" s="93"/>
      <c r="D363" s="92"/>
      <c r="E363" s="270"/>
      <c r="F363" s="273"/>
      <c r="G363" s="274"/>
      <c r="H363" s="279"/>
      <c r="I363" s="280"/>
      <c r="J363" s="281"/>
      <c r="K363" s="283"/>
      <c r="L363" s="273"/>
      <c r="M363" s="274"/>
      <c r="N363" s="139"/>
      <c r="O363" s="281"/>
    </row>
    <row r="364" spans="1:15" ht="17.850000000000001" customHeight="1" x14ac:dyDescent="0.25">
      <c r="A364" s="96"/>
      <c r="B364" s="238"/>
      <c r="C364" s="93"/>
      <c r="D364" s="92"/>
      <c r="E364" s="270"/>
      <c r="F364" s="273"/>
      <c r="G364" s="274"/>
      <c r="H364" s="279"/>
      <c r="I364" s="280"/>
      <c r="J364" s="281"/>
      <c r="K364" s="283"/>
      <c r="L364" s="273"/>
      <c r="M364" s="274"/>
      <c r="N364" s="139"/>
      <c r="O364" s="281"/>
    </row>
    <row r="365" spans="1:15" ht="17.850000000000001" customHeight="1" x14ac:dyDescent="0.25">
      <c r="A365" s="96"/>
      <c r="B365" s="238"/>
      <c r="C365" s="93"/>
      <c r="D365" s="92"/>
      <c r="E365" s="270"/>
      <c r="F365" s="273"/>
      <c r="G365" s="274"/>
      <c r="H365" s="279"/>
      <c r="I365" s="280"/>
      <c r="J365" s="281"/>
      <c r="K365" s="283"/>
      <c r="L365" s="273"/>
      <c r="M365" s="274"/>
      <c r="N365" s="139"/>
      <c r="O365" s="281"/>
    </row>
    <row r="366" spans="1:15" ht="17.850000000000001" customHeight="1" x14ac:dyDescent="0.25">
      <c r="A366" s="96"/>
      <c r="B366" s="238"/>
      <c r="C366" s="93"/>
      <c r="D366" s="92"/>
      <c r="E366" s="270"/>
      <c r="F366" s="273"/>
      <c r="G366" s="274"/>
      <c r="H366" s="279"/>
      <c r="I366" s="280"/>
      <c r="J366" s="281"/>
      <c r="K366" s="283"/>
      <c r="L366" s="273"/>
      <c r="M366" s="274"/>
      <c r="N366" s="139"/>
      <c r="O366" s="281"/>
    </row>
    <row r="367" spans="1:15" ht="17.850000000000001" customHeight="1" x14ac:dyDescent="0.25">
      <c r="A367" s="96"/>
      <c r="B367" s="238"/>
      <c r="C367" s="93"/>
      <c r="D367" s="92"/>
      <c r="E367" s="270"/>
      <c r="F367" s="273"/>
      <c r="G367" s="274"/>
      <c r="H367" s="279"/>
      <c r="I367" s="280"/>
      <c r="J367" s="281"/>
      <c r="K367" s="283"/>
      <c r="L367" s="273"/>
      <c r="M367" s="274"/>
      <c r="N367" s="139"/>
      <c r="O367" s="281"/>
    </row>
    <row r="368" spans="1:15" ht="17.850000000000001" customHeight="1" x14ac:dyDescent="0.25">
      <c r="A368" s="96"/>
      <c r="B368" s="238"/>
      <c r="C368" s="93"/>
      <c r="D368" s="92"/>
      <c r="E368" s="270"/>
      <c r="F368" s="273"/>
      <c r="G368" s="274"/>
      <c r="H368" s="279"/>
      <c r="I368" s="280"/>
      <c r="J368" s="281"/>
      <c r="K368" s="283"/>
      <c r="L368" s="273"/>
      <c r="M368" s="274"/>
      <c r="N368" s="139"/>
      <c r="O368" s="281"/>
    </row>
    <row r="369" spans="1:15" ht="17.850000000000001" customHeight="1" x14ac:dyDescent="0.25">
      <c r="A369" s="96"/>
      <c r="B369" s="238"/>
      <c r="C369" s="93"/>
      <c r="D369" s="92"/>
      <c r="E369" s="270"/>
      <c r="F369" s="273"/>
      <c r="G369" s="274"/>
      <c r="H369" s="279"/>
      <c r="I369" s="280"/>
      <c r="J369" s="281"/>
      <c r="K369" s="283"/>
      <c r="L369" s="273"/>
      <c r="M369" s="274"/>
      <c r="N369" s="139"/>
      <c r="O369" s="281"/>
    </row>
    <row r="370" spans="1:15" ht="17.850000000000001" customHeight="1" x14ac:dyDescent="0.25">
      <c r="A370" s="96"/>
      <c r="B370" s="238"/>
      <c r="C370" s="93"/>
      <c r="D370" s="92"/>
      <c r="E370" s="270"/>
      <c r="F370" s="273"/>
      <c r="G370" s="274"/>
      <c r="H370" s="279"/>
      <c r="I370" s="280"/>
      <c r="J370" s="281"/>
      <c r="K370" s="283"/>
      <c r="L370" s="273"/>
      <c r="M370" s="274"/>
      <c r="N370" s="139"/>
      <c r="O370" s="281"/>
    </row>
    <row r="371" spans="1:15" ht="17.850000000000001" customHeight="1" x14ac:dyDescent="0.25">
      <c r="A371" s="96"/>
      <c r="B371" s="238"/>
      <c r="C371" s="93"/>
      <c r="D371" s="92"/>
      <c r="E371" s="270"/>
      <c r="F371" s="273"/>
      <c r="G371" s="274"/>
      <c r="H371" s="279"/>
      <c r="I371" s="280"/>
      <c r="J371" s="281"/>
      <c r="K371" s="283"/>
      <c r="L371" s="273"/>
      <c r="M371" s="274"/>
      <c r="N371" s="139"/>
      <c r="O371" s="281"/>
    </row>
    <row r="372" spans="1:15" ht="17.850000000000001" customHeight="1" x14ac:dyDescent="0.25">
      <c r="A372" s="96"/>
      <c r="B372" s="238"/>
      <c r="C372" s="93"/>
      <c r="D372" s="92"/>
      <c r="E372" s="270"/>
      <c r="F372" s="273"/>
      <c r="G372" s="274"/>
      <c r="H372" s="279"/>
      <c r="I372" s="280"/>
      <c r="J372" s="281"/>
      <c r="K372" s="283"/>
      <c r="L372" s="273"/>
      <c r="M372" s="274"/>
      <c r="N372" s="139"/>
      <c r="O372" s="281"/>
    </row>
    <row r="373" spans="1:15" ht="17.850000000000001" customHeight="1" x14ac:dyDescent="0.25">
      <c r="A373" s="96"/>
      <c r="B373" s="238"/>
      <c r="C373" s="93"/>
      <c r="D373" s="92"/>
      <c r="E373" s="270"/>
      <c r="F373" s="273"/>
      <c r="G373" s="274"/>
      <c r="H373" s="279"/>
      <c r="I373" s="280"/>
      <c r="J373" s="281"/>
      <c r="K373" s="283"/>
      <c r="L373" s="273"/>
      <c r="M373" s="274"/>
      <c r="N373" s="139"/>
      <c r="O373" s="281"/>
    </row>
    <row r="374" spans="1:15" ht="17.850000000000001" customHeight="1" x14ac:dyDescent="0.25">
      <c r="A374" s="96"/>
      <c r="B374" s="238"/>
      <c r="C374" s="93"/>
      <c r="D374" s="92"/>
      <c r="E374" s="270"/>
      <c r="F374" s="273"/>
      <c r="G374" s="274"/>
      <c r="H374" s="279"/>
      <c r="I374" s="280"/>
      <c r="J374" s="281"/>
      <c r="K374" s="283"/>
      <c r="L374" s="273"/>
      <c r="M374" s="274"/>
      <c r="N374" s="139"/>
      <c r="O374" s="281"/>
    </row>
    <row r="375" spans="1:15" ht="17.850000000000001" customHeight="1" x14ac:dyDescent="0.25">
      <c r="A375" s="96"/>
      <c r="B375" s="238"/>
      <c r="C375" s="93"/>
      <c r="D375" s="92"/>
      <c r="E375" s="270"/>
      <c r="F375" s="273"/>
      <c r="G375" s="274"/>
      <c r="H375" s="279"/>
      <c r="I375" s="280"/>
      <c r="J375" s="281"/>
      <c r="K375" s="283"/>
      <c r="L375" s="273"/>
      <c r="M375" s="274"/>
      <c r="N375" s="139"/>
      <c r="O375" s="281"/>
    </row>
    <row r="376" spans="1:15" ht="17.850000000000001" customHeight="1" x14ac:dyDescent="0.25">
      <c r="A376" s="96"/>
      <c r="B376" s="238"/>
      <c r="C376" s="93"/>
      <c r="D376" s="92"/>
      <c r="E376" s="270"/>
      <c r="F376" s="273"/>
      <c r="G376" s="274"/>
      <c r="H376" s="279"/>
      <c r="I376" s="280"/>
      <c r="J376" s="281"/>
      <c r="K376" s="283"/>
      <c r="L376" s="273"/>
      <c r="M376" s="274"/>
      <c r="N376" s="139"/>
      <c r="O376" s="281"/>
    </row>
    <row r="377" spans="1:15" ht="17.850000000000001" customHeight="1" x14ac:dyDescent="0.25">
      <c r="A377" s="96"/>
      <c r="B377" s="238"/>
      <c r="C377" s="93"/>
      <c r="D377" s="92"/>
      <c r="E377" s="270"/>
      <c r="F377" s="273"/>
      <c r="G377" s="274"/>
      <c r="H377" s="279"/>
      <c r="I377" s="280"/>
      <c r="J377" s="281"/>
      <c r="K377" s="283"/>
      <c r="L377" s="273"/>
      <c r="M377" s="274"/>
      <c r="N377" s="139"/>
      <c r="O377" s="281"/>
    </row>
    <row r="378" spans="1:15" ht="17.850000000000001" customHeight="1" x14ac:dyDescent="0.25">
      <c r="A378" s="96"/>
      <c r="B378" s="238"/>
      <c r="C378" s="93"/>
      <c r="D378" s="92"/>
      <c r="E378" s="270"/>
      <c r="F378" s="273"/>
      <c r="G378" s="274"/>
      <c r="H378" s="279"/>
      <c r="I378" s="280"/>
      <c r="J378" s="281"/>
      <c r="K378" s="283"/>
      <c r="L378" s="273"/>
      <c r="M378" s="274"/>
      <c r="N378" s="139"/>
      <c r="O378" s="281"/>
    </row>
    <row r="379" spans="1:15" ht="17.850000000000001" customHeight="1" x14ac:dyDescent="0.25">
      <c r="A379" s="96"/>
      <c r="B379" s="238"/>
      <c r="C379" s="93"/>
      <c r="D379" s="92"/>
      <c r="E379" s="270"/>
      <c r="F379" s="273"/>
      <c r="G379" s="274"/>
      <c r="H379" s="279"/>
      <c r="I379" s="280"/>
      <c r="J379" s="281"/>
      <c r="K379" s="283"/>
      <c r="L379" s="273"/>
      <c r="M379" s="274"/>
      <c r="N379" s="139"/>
      <c r="O379" s="281"/>
    </row>
    <row r="380" spans="1:15" ht="17.850000000000001" customHeight="1" x14ac:dyDescent="0.25">
      <c r="A380" s="96"/>
      <c r="B380" s="238"/>
      <c r="C380" s="93"/>
      <c r="D380" s="92"/>
      <c r="E380" s="270"/>
      <c r="F380" s="273"/>
      <c r="G380" s="274"/>
      <c r="H380" s="279"/>
      <c r="I380" s="280"/>
      <c r="J380" s="281"/>
      <c r="K380" s="283"/>
      <c r="L380" s="273"/>
      <c r="M380" s="274"/>
      <c r="N380" s="139"/>
      <c r="O380" s="281"/>
    </row>
    <row r="381" spans="1:15" ht="17.850000000000001" customHeight="1" x14ac:dyDescent="0.25">
      <c r="A381" s="96"/>
      <c r="B381" s="238"/>
      <c r="C381" s="93"/>
      <c r="D381" s="92"/>
      <c r="E381" s="270"/>
      <c r="F381" s="273"/>
      <c r="G381" s="274"/>
      <c r="H381" s="279"/>
      <c r="I381" s="280"/>
      <c r="J381" s="281"/>
      <c r="K381" s="283"/>
      <c r="L381" s="273"/>
      <c r="M381" s="274"/>
      <c r="N381" s="139"/>
      <c r="O381" s="281"/>
    </row>
    <row r="382" spans="1:15" ht="17.850000000000001" customHeight="1" x14ac:dyDescent="0.25">
      <c r="A382" s="96"/>
      <c r="B382" s="238"/>
      <c r="C382" s="93"/>
      <c r="D382" s="92"/>
      <c r="E382" s="270"/>
      <c r="F382" s="273"/>
      <c r="G382" s="274"/>
      <c r="H382" s="279"/>
      <c r="I382" s="280"/>
      <c r="J382" s="281"/>
      <c r="K382" s="283"/>
      <c r="L382" s="273"/>
      <c r="M382" s="274"/>
      <c r="N382" s="139"/>
      <c r="O382" s="281"/>
    </row>
    <row r="383" spans="1:15" ht="17.850000000000001" customHeight="1" x14ac:dyDescent="0.25">
      <c r="A383" s="96"/>
      <c r="B383" s="238"/>
      <c r="C383" s="93"/>
      <c r="D383" s="92"/>
      <c r="E383" s="270"/>
      <c r="F383" s="273"/>
      <c r="G383" s="274"/>
      <c r="H383" s="279"/>
      <c r="I383" s="280"/>
      <c r="J383" s="281"/>
      <c r="K383" s="283"/>
      <c r="L383" s="273"/>
      <c r="M383" s="274"/>
      <c r="N383" s="139"/>
      <c r="O383" s="281"/>
    </row>
    <row r="384" spans="1:15" ht="17.850000000000001" customHeight="1" x14ac:dyDescent="0.25">
      <c r="A384" s="96"/>
      <c r="B384" s="238"/>
      <c r="C384" s="93"/>
      <c r="D384" s="92"/>
      <c r="E384" s="270"/>
      <c r="F384" s="273"/>
      <c r="G384" s="274"/>
      <c r="H384" s="279"/>
      <c r="I384" s="280"/>
      <c r="J384" s="281"/>
      <c r="K384" s="283"/>
      <c r="L384" s="273"/>
      <c r="M384" s="274"/>
      <c r="N384" s="139"/>
      <c r="O384" s="281"/>
    </row>
    <row r="385" spans="1:15" ht="17.850000000000001" customHeight="1" x14ac:dyDescent="0.25">
      <c r="A385" s="96"/>
      <c r="B385" s="238"/>
      <c r="C385" s="93"/>
      <c r="D385" s="92"/>
      <c r="E385" s="270"/>
      <c r="F385" s="273"/>
      <c r="G385" s="274"/>
      <c r="H385" s="279"/>
      <c r="I385" s="280"/>
      <c r="J385" s="281"/>
      <c r="K385" s="283"/>
      <c r="L385" s="273"/>
      <c r="M385" s="274"/>
      <c r="N385" s="139"/>
      <c r="O385" s="281"/>
    </row>
    <row r="386" spans="1:15" ht="17.850000000000001" customHeight="1" x14ac:dyDescent="0.25">
      <c r="A386" s="96"/>
      <c r="B386" s="238"/>
      <c r="C386" s="93"/>
      <c r="D386" s="92"/>
      <c r="E386" s="270"/>
      <c r="F386" s="273"/>
      <c r="G386" s="274"/>
      <c r="H386" s="279"/>
      <c r="I386" s="280"/>
      <c r="J386" s="281"/>
      <c r="K386" s="283"/>
      <c r="L386" s="273"/>
      <c r="M386" s="274"/>
      <c r="N386" s="139"/>
      <c r="O386" s="281"/>
    </row>
    <row r="387" spans="1:15" ht="17.850000000000001" customHeight="1" x14ac:dyDescent="0.25">
      <c r="A387" s="96"/>
      <c r="B387" s="238"/>
      <c r="C387" s="93"/>
      <c r="D387" s="92"/>
      <c r="E387" s="270"/>
      <c r="F387" s="273"/>
      <c r="G387" s="274"/>
      <c r="H387" s="279"/>
      <c r="I387" s="280"/>
      <c r="J387" s="281"/>
      <c r="K387" s="283"/>
      <c r="L387" s="273"/>
      <c r="M387" s="274"/>
      <c r="N387" s="139"/>
      <c r="O387" s="281"/>
    </row>
    <row r="388" spans="1:15" ht="17.850000000000001" customHeight="1" x14ac:dyDescent="0.25">
      <c r="A388" s="96"/>
      <c r="B388" s="238"/>
      <c r="C388" s="93"/>
      <c r="D388" s="92"/>
      <c r="E388" s="270"/>
      <c r="F388" s="273"/>
      <c r="G388" s="274"/>
      <c r="H388" s="279"/>
      <c r="I388" s="280"/>
      <c r="J388" s="281"/>
      <c r="K388" s="283"/>
      <c r="L388" s="273"/>
      <c r="M388" s="274"/>
      <c r="N388" s="139"/>
      <c r="O388" s="281"/>
    </row>
    <row r="389" spans="1:15" ht="17.850000000000001" customHeight="1" x14ac:dyDescent="0.25">
      <c r="A389" s="96"/>
      <c r="B389" s="238"/>
      <c r="C389" s="93"/>
      <c r="D389" s="92"/>
      <c r="E389" s="270"/>
      <c r="F389" s="273"/>
      <c r="G389" s="274"/>
      <c r="H389" s="279"/>
      <c r="I389" s="280"/>
      <c r="J389" s="281"/>
      <c r="K389" s="283"/>
      <c r="L389" s="273"/>
      <c r="M389" s="274"/>
      <c r="N389" s="139"/>
      <c r="O389" s="281"/>
    </row>
    <row r="390" spans="1:15" ht="17.850000000000001" customHeight="1" x14ac:dyDescent="0.25">
      <c r="A390" s="96"/>
      <c r="B390" s="238"/>
      <c r="C390" s="93"/>
      <c r="D390" s="92"/>
      <c r="E390" s="270"/>
      <c r="F390" s="273"/>
      <c r="G390" s="274"/>
      <c r="H390" s="279"/>
      <c r="I390" s="280"/>
      <c r="J390" s="281"/>
      <c r="K390" s="283"/>
      <c r="L390" s="273"/>
      <c r="M390" s="274"/>
      <c r="N390" s="139"/>
      <c r="O390" s="281"/>
    </row>
    <row r="391" spans="1:15" ht="17.850000000000001" customHeight="1" x14ac:dyDescent="0.25">
      <c r="A391" s="96"/>
      <c r="B391" s="238"/>
      <c r="C391" s="93"/>
      <c r="D391" s="92"/>
      <c r="E391" s="270"/>
      <c r="F391" s="273"/>
      <c r="G391" s="274"/>
      <c r="H391" s="279"/>
      <c r="I391" s="280"/>
      <c r="J391" s="281"/>
      <c r="K391" s="283"/>
      <c r="L391" s="273"/>
      <c r="M391" s="274"/>
      <c r="N391" s="139"/>
      <c r="O391" s="281"/>
    </row>
    <row r="392" spans="1:15" ht="17.850000000000001" customHeight="1" x14ac:dyDescent="0.25">
      <c r="A392" s="96"/>
      <c r="B392" s="238"/>
      <c r="C392" s="93"/>
      <c r="D392" s="92"/>
      <c r="E392" s="270"/>
      <c r="F392" s="273"/>
      <c r="G392" s="274"/>
      <c r="H392" s="279"/>
      <c r="I392" s="280"/>
      <c r="J392" s="281"/>
      <c r="K392" s="283"/>
      <c r="L392" s="273"/>
      <c r="M392" s="274"/>
      <c r="N392" s="139"/>
      <c r="O392" s="281"/>
    </row>
    <row r="393" spans="1:15" ht="17.850000000000001" customHeight="1" x14ac:dyDescent="0.25">
      <c r="A393" s="96"/>
      <c r="B393" s="238"/>
      <c r="C393" s="93"/>
      <c r="D393" s="92"/>
      <c r="E393" s="270"/>
      <c r="F393" s="273"/>
      <c r="G393" s="274"/>
      <c r="H393" s="279"/>
      <c r="I393" s="280"/>
      <c r="J393" s="281"/>
      <c r="K393" s="283"/>
      <c r="L393" s="273"/>
      <c r="M393" s="274"/>
      <c r="N393" s="139"/>
      <c r="O393" s="281"/>
    </row>
    <row r="394" spans="1:15" ht="17.850000000000001" customHeight="1" x14ac:dyDescent="0.25">
      <c r="A394" s="96"/>
      <c r="B394" s="238"/>
      <c r="C394" s="93"/>
      <c r="D394" s="92"/>
      <c r="E394" s="270"/>
      <c r="F394" s="273"/>
      <c r="G394" s="274"/>
      <c r="H394" s="279"/>
      <c r="I394" s="280"/>
      <c r="J394" s="281"/>
      <c r="K394" s="283"/>
      <c r="L394" s="273"/>
      <c r="M394" s="274"/>
      <c r="N394" s="139"/>
      <c r="O394" s="281"/>
    </row>
    <row r="395" spans="1:15" ht="17.850000000000001" customHeight="1" x14ac:dyDescent="0.25">
      <c r="A395" s="96"/>
      <c r="B395" s="238"/>
      <c r="C395" s="93"/>
      <c r="D395" s="92"/>
      <c r="E395" s="270"/>
      <c r="F395" s="273"/>
      <c r="G395" s="274"/>
      <c r="H395" s="279"/>
      <c r="I395" s="280"/>
      <c r="J395" s="281"/>
      <c r="K395" s="283"/>
      <c r="L395" s="273"/>
      <c r="M395" s="274"/>
      <c r="N395" s="139"/>
      <c r="O395" s="281"/>
    </row>
    <row r="396" spans="1:15" ht="17.850000000000001" customHeight="1" x14ac:dyDescent="0.25">
      <c r="A396" s="96"/>
      <c r="B396" s="238"/>
      <c r="C396" s="93"/>
      <c r="D396" s="92"/>
      <c r="E396" s="270"/>
      <c r="F396" s="273"/>
      <c r="G396" s="274"/>
      <c r="H396" s="279"/>
      <c r="I396" s="280"/>
      <c r="J396" s="281"/>
      <c r="K396" s="283"/>
      <c r="L396" s="273"/>
      <c r="M396" s="274"/>
      <c r="N396" s="139"/>
      <c r="O396" s="281"/>
    </row>
    <row r="397" spans="1:15" ht="17.850000000000001" customHeight="1" x14ac:dyDescent="0.25">
      <c r="A397" s="96"/>
      <c r="B397" s="238"/>
      <c r="C397" s="93"/>
      <c r="D397" s="92"/>
      <c r="E397" s="270"/>
      <c r="F397" s="273"/>
      <c r="G397" s="274"/>
      <c r="H397" s="279"/>
      <c r="I397" s="280"/>
      <c r="J397" s="281"/>
      <c r="K397" s="283"/>
      <c r="L397" s="273"/>
      <c r="M397" s="274"/>
      <c r="N397" s="139"/>
      <c r="O397" s="281"/>
    </row>
    <row r="398" spans="1:15" ht="17.850000000000001" customHeight="1" x14ac:dyDescent="0.25">
      <c r="A398" s="96"/>
      <c r="B398" s="238"/>
      <c r="C398" s="93"/>
      <c r="D398" s="92"/>
      <c r="E398" s="270"/>
      <c r="F398" s="273"/>
      <c r="G398" s="274"/>
      <c r="H398" s="279"/>
      <c r="I398" s="280"/>
      <c r="J398" s="281"/>
      <c r="K398" s="283"/>
      <c r="L398" s="273"/>
      <c r="M398" s="274"/>
      <c r="N398" s="139"/>
      <c r="O398" s="281"/>
    </row>
    <row r="399" spans="1:15" ht="17.850000000000001" customHeight="1" x14ac:dyDescent="0.25">
      <c r="A399" s="96"/>
      <c r="B399" s="238"/>
      <c r="C399" s="93"/>
      <c r="D399" s="92"/>
      <c r="E399" s="270"/>
      <c r="F399" s="273"/>
      <c r="G399" s="274"/>
      <c r="H399" s="279"/>
      <c r="I399" s="280"/>
      <c r="J399" s="281"/>
      <c r="K399" s="283"/>
      <c r="L399" s="273"/>
      <c r="M399" s="274"/>
      <c r="N399" s="139"/>
      <c r="O399" s="281"/>
    </row>
    <row r="400" spans="1:15" ht="17.850000000000001" customHeight="1" x14ac:dyDescent="0.25">
      <c r="A400" s="96"/>
      <c r="B400" s="238"/>
      <c r="C400" s="93"/>
      <c r="D400" s="92"/>
      <c r="E400" s="270"/>
      <c r="F400" s="273"/>
      <c r="G400" s="274"/>
      <c r="H400" s="279"/>
      <c r="I400" s="280"/>
      <c r="J400" s="281"/>
      <c r="K400" s="283"/>
      <c r="L400" s="273"/>
      <c r="M400" s="274"/>
      <c r="N400" s="139"/>
      <c r="O400" s="281"/>
    </row>
    <row r="401" spans="1:15" ht="17.850000000000001" customHeight="1" x14ac:dyDescent="0.25">
      <c r="A401" s="96"/>
      <c r="B401" s="238"/>
      <c r="C401" s="93"/>
      <c r="D401" s="92"/>
      <c r="E401" s="270"/>
      <c r="F401" s="273"/>
      <c r="G401" s="274"/>
      <c r="H401" s="279"/>
      <c r="I401" s="280"/>
      <c r="J401" s="281"/>
      <c r="K401" s="283"/>
      <c r="L401" s="273"/>
      <c r="M401" s="274"/>
      <c r="N401" s="139"/>
      <c r="O401" s="281"/>
    </row>
    <row r="402" spans="1:15" ht="17.850000000000001" customHeight="1" x14ac:dyDescent="0.25">
      <c r="A402" s="96"/>
      <c r="B402" s="238"/>
      <c r="C402" s="93"/>
      <c r="D402" s="92"/>
      <c r="E402" s="270"/>
      <c r="F402" s="273"/>
      <c r="G402" s="274"/>
      <c r="H402" s="279"/>
      <c r="I402" s="280"/>
      <c r="J402" s="281"/>
      <c r="K402" s="283"/>
      <c r="L402" s="273"/>
      <c r="M402" s="274"/>
      <c r="N402" s="139"/>
      <c r="O402" s="281"/>
    </row>
    <row r="403" spans="1:15" ht="17.850000000000001" customHeight="1" x14ac:dyDescent="0.25">
      <c r="A403" s="96"/>
      <c r="B403" s="238"/>
      <c r="C403" s="93"/>
      <c r="D403" s="92"/>
      <c r="E403" s="270"/>
      <c r="F403" s="273"/>
      <c r="G403" s="274"/>
      <c r="H403" s="279"/>
      <c r="I403" s="280"/>
      <c r="J403" s="281"/>
      <c r="K403" s="283"/>
      <c r="L403" s="273"/>
      <c r="M403" s="274"/>
      <c r="N403" s="139"/>
      <c r="O403" s="281"/>
    </row>
    <row r="404" spans="1:15" ht="17.850000000000001" customHeight="1" x14ac:dyDescent="0.25">
      <c r="A404" s="96"/>
      <c r="B404" s="238"/>
      <c r="C404" s="93"/>
      <c r="D404" s="92"/>
      <c r="E404" s="270"/>
      <c r="F404" s="273"/>
      <c r="G404" s="274"/>
      <c r="H404" s="279"/>
      <c r="I404" s="280"/>
      <c r="J404" s="281"/>
      <c r="K404" s="283"/>
      <c r="L404" s="273"/>
      <c r="M404" s="274"/>
      <c r="N404" s="139"/>
      <c r="O404" s="281"/>
    </row>
    <row r="405" spans="1:15" ht="17.850000000000001" customHeight="1" x14ac:dyDescent="0.25">
      <c r="A405" s="96"/>
      <c r="B405" s="238"/>
      <c r="C405" s="93"/>
      <c r="D405" s="92"/>
      <c r="E405" s="270"/>
      <c r="F405" s="273"/>
      <c r="G405" s="274"/>
      <c r="H405" s="279"/>
      <c r="I405" s="280"/>
      <c r="J405" s="281"/>
      <c r="K405" s="283"/>
      <c r="L405" s="273"/>
      <c r="M405" s="274"/>
      <c r="N405" s="139"/>
      <c r="O405" s="281"/>
    </row>
    <row r="406" spans="1:15" ht="17.850000000000001" customHeight="1" x14ac:dyDescent="0.25">
      <c r="A406" s="96"/>
      <c r="B406" s="238"/>
      <c r="C406" s="93"/>
      <c r="D406" s="92"/>
      <c r="E406" s="270"/>
      <c r="F406" s="273"/>
      <c r="G406" s="274"/>
      <c r="H406" s="279"/>
      <c r="I406" s="280"/>
      <c r="J406" s="281"/>
      <c r="K406" s="283"/>
      <c r="L406" s="273"/>
      <c r="M406" s="274"/>
      <c r="N406" s="139"/>
      <c r="O406" s="281"/>
    </row>
    <row r="407" spans="1:15" ht="17.850000000000001" customHeight="1" x14ac:dyDescent="0.25">
      <c r="A407" s="96"/>
      <c r="B407" s="238"/>
      <c r="C407" s="93"/>
      <c r="D407" s="92"/>
      <c r="E407" s="270"/>
      <c r="F407" s="273"/>
      <c r="G407" s="274"/>
      <c r="H407" s="279"/>
      <c r="I407" s="280"/>
      <c r="J407" s="281"/>
      <c r="K407" s="283"/>
      <c r="L407" s="273"/>
      <c r="M407" s="274"/>
      <c r="N407" s="139"/>
      <c r="O407" s="281"/>
    </row>
    <row r="408" spans="1:15" ht="17.850000000000001" customHeight="1" x14ac:dyDescent="0.25">
      <c r="A408" s="96"/>
      <c r="B408" s="238"/>
      <c r="C408" s="93"/>
      <c r="D408" s="92"/>
      <c r="E408" s="270"/>
      <c r="F408" s="273"/>
      <c r="G408" s="274"/>
      <c r="H408" s="279"/>
      <c r="I408" s="280"/>
      <c r="J408" s="281"/>
      <c r="K408" s="283"/>
      <c r="L408" s="273"/>
      <c r="M408" s="274"/>
      <c r="N408" s="139"/>
      <c r="O408" s="281"/>
    </row>
    <row r="409" spans="1:15" ht="17.850000000000001" customHeight="1" x14ac:dyDescent="0.25">
      <c r="A409" s="96"/>
      <c r="B409" s="238"/>
      <c r="C409" s="93"/>
      <c r="D409" s="92"/>
      <c r="E409" s="270"/>
      <c r="F409" s="273"/>
      <c r="G409" s="274"/>
      <c r="H409" s="279"/>
      <c r="I409" s="280"/>
      <c r="J409" s="281"/>
      <c r="K409" s="283"/>
      <c r="L409" s="273"/>
      <c r="M409" s="274"/>
      <c r="N409" s="139"/>
      <c r="O409" s="281"/>
    </row>
    <row r="410" spans="1:15" ht="17.850000000000001" customHeight="1" x14ac:dyDescent="0.25">
      <c r="A410" s="96"/>
      <c r="B410" s="238"/>
      <c r="C410" s="93"/>
      <c r="D410" s="92"/>
      <c r="E410" s="270"/>
      <c r="F410" s="273"/>
      <c r="G410" s="274"/>
      <c r="H410" s="279"/>
      <c r="I410" s="280"/>
      <c r="J410" s="281"/>
      <c r="K410" s="283"/>
      <c r="L410" s="273"/>
      <c r="M410" s="274"/>
      <c r="N410" s="139"/>
      <c r="O410" s="281"/>
    </row>
    <row r="411" spans="1:15" ht="17.850000000000001" customHeight="1" x14ac:dyDescent="0.25">
      <c r="A411" s="96"/>
      <c r="B411" s="238"/>
      <c r="C411" s="93"/>
      <c r="D411" s="92"/>
      <c r="E411" s="270"/>
      <c r="F411" s="273"/>
      <c r="G411" s="274"/>
      <c r="H411" s="279"/>
      <c r="I411" s="280"/>
      <c r="J411" s="281"/>
      <c r="K411" s="283"/>
      <c r="L411" s="273"/>
      <c r="M411" s="274"/>
      <c r="N411" s="139"/>
      <c r="O411" s="281"/>
    </row>
    <row r="412" spans="1:15" ht="17.850000000000001" customHeight="1" x14ac:dyDescent="0.25">
      <c r="A412" s="96"/>
      <c r="B412" s="238"/>
      <c r="C412" s="93"/>
      <c r="D412" s="92"/>
      <c r="E412" s="270"/>
      <c r="F412" s="273"/>
      <c r="G412" s="274"/>
      <c r="H412" s="279"/>
      <c r="I412" s="280"/>
      <c r="J412" s="281"/>
      <c r="K412" s="283"/>
      <c r="L412" s="273"/>
      <c r="M412" s="274"/>
      <c r="N412" s="139"/>
      <c r="O412" s="281"/>
    </row>
    <row r="413" spans="1:15" ht="17.850000000000001" customHeight="1" x14ac:dyDescent="0.25">
      <c r="A413" s="96"/>
      <c r="B413" s="238"/>
      <c r="C413" s="93"/>
      <c r="D413" s="92"/>
      <c r="E413" s="270"/>
      <c r="F413" s="273"/>
      <c r="G413" s="274"/>
      <c r="H413" s="279"/>
      <c r="I413" s="280"/>
      <c r="J413" s="281"/>
      <c r="K413" s="283"/>
      <c r="L413" s="273"/>
      <c r="M413" s="274"/>
      <c r="N413" s="139"/>
      <c r="O413" s="281"/>
    </row>
    <row r="414" spans="1:15" ht="17.850000000000001" customHeight="1" x14ac:dyDescent="0.25">
      <c r="A414" s="96"/>
      <c r="B414" s="238"/>
      <c r="C414" s="93"/>
      <c r="D414" s="92"/>
      <c r="E414" s="270"/>
      <c r="F414" s="273"/>
      <c r="G414" s="274"/>
      <c r="H414" s="279"/>
      <c r="I414" s="280"/>
      <c r="J414" s="281"/>
      <c r="K414" s="283"/>
      <c r="L414" s="273"/>
      <c r="M414" s="274"/>
      <c r="N414" s="139"/>
      <c r="O414" s="281"/>
    </row>
    <row r="415" spans="1:15" ht="17.850000000000001" customHeight="1" x14ac:dyDescent="0.25">
      <c r="A415" s="96"/>
      <c r="B415" s="238"/>
      <c r="C415" s="93"/>
      <c r="D415" s="92"/>
      <c r="E415" s="270"/>
      <c r="F415" s="273"/>
      <c r="G415" s="274"/>
      <c r="H415" s="279"/>
      <c r="I415" s="280"/>
      <c r="J415" s="281"/>
      <c r="K415" s="283"/>
      <c r="L415" s="273"/>
      <c r="M415" s="274"/>
      <c r="N415" s="139"/>
      <c r="O415" s="281"/>
    </row>
    <row r="416" spans="1:15" ht="17.850000000000001" customHeight="1" x14ac:dyDescent="0.25">
      <c r="A416" s="96"/>
      <c r="B416" s="238"/>
      <c r="C416" s="93"/>
      <c r="D416" s="92"/>
      <c r="E416" s="270"/>
      <c r="F416" s="273"/>
      <c r="G416" s="274"/>
      <c r="H416" s="279"/>
      <c r="I416" s="280"/>
      <c r="J416" s="281"/>
      <c r="K416" s="283"/>
      <c r="L416" s="273"/>
      <c r="M416" s="274"/>
      <c r="N416" s="139"/>
      <c r="O416" s="281"/>
    </row>
    <row r="417" spans="1:15" ht="17.850000000000001" customHeight="1" x14ac:dyDescent="0.25">
      <c r="A417" s="96"/>
      <c r="B417" s="238"/>
      <c r="C417" s="93"/>
      <c r="D417" s="92"/>
      <c r="E417" s="270"/>
      <c r="F417" s="273"/>
      <c r="G417" s="274"/>
      <c r="H417" s="279"/>
      <c r="I417" s="280"/>
      <c r="J417" s="281"/>
      <c r="K417" s="283"/>
      <c r="L417" s="273"/>
      <c r="M417" s="274"/>
      <c r="N417" s="139"/>
      <c r="O417" s="281"/>
    </row>
    <row r="418" spans="1:15" ht="17.850000000000001" customHeight="1" x14ac:dyDescent="0.25">
      <c r="A418" s="96"/>
      <c r="B418" s="238"/>
      <c r="C418" s="93"/>
      <c r="D418" s="92"/>
      <c r="E418" s="270"/>
      <c r="F418" s="273"/>
      <c r="G418" s="274"/>
      <c r="H418" s="279"/>
      <c r="I418" s="280"/>
      <c r="J418" s="281"/>
      <c r="K418" s="283"/>
      <c r="L418" s="273"/>
      <c r="M418" s="274"/>
      <c r="N418" s="139"/>
      <c r="O418" s="281"/>
    </row>
    <row r="419" spans="1:15" ht="17.850000000000001" customHeight="1" x14ac:dyDescent="0.25">
      <c r="A419" s="96"/>
      <c r="B419" s="238"/>
      <c r="C419" s="93"/>
      <c r="D419" s="92"/>
      <c r="E419" s="270"/>
      <c r="F419" s="273"/>
      <c r="G419" s="274"/>
      <c r="H419" s="279"/>
      <c r="I419" s="280"/>
      <c r="J419" s="281"/>
      <c r="K419" s="283"/>
      <c r="L419" s="273"/>
      <c r="M419" s="274"/>
      <c r="N419" s="139"/>
      <c r="O419" s="281"/>
    </row>
    <row r="420" spans="1:15" ht="17.850000000000001" customHeight="1" x14ac:dyDescent="0.25">
      <c r="A420" s="96"/>
      <c r="B420" s="238"/>
      <c r="C420" s="93"/>
      <c r="D420" s="92"/>
      <c r="E420" s="270"/>
      <c r="F420" s="273"/>
      <c r="G420" s="274"/>
      <c r="H420" s="279"/>
      <c r="I420" s="280"/>
      <c r="J420" s="281"/>
      <c r="K420" s="283"/>
      <c r="L420" s="273"/>
      <c r="M420" s="274"/>
      <c r="N420" s="139"/>
      <c r="O420" s="281"/>
    </row>
    <row r="421" spans="1:15" ht="17.850000000000001" customHeight="1" x14ac:dyDescent="0.25">
      <c r="A421" s="96"/>
      <c r="B421" s="238"/>
      <c r="C421" s="93"/>
      <c r="D421" s="92"/>
      <c r="E421" s="270"/>
      <c r="F421" s="273"/>
      <c r="G421" s="274"/>
      <c r="H421" s="279"/>
      <c r="I421" s="280"/>
      <c r="J421" s="281"/>
      <c r="K421" s="283"/>
      <c r="L421" s="273"/>
      <c r="M421" s="274"/>
      <c r="N421" s="139"/>
      <c r="O421" s="281"/>
    </row>
    <row r="422" spans="1:15" ht="17.850000000000001" customHeight="1" x14ac:dyDescent="0.25">
      <c r="A422" s="96"/>
      <c r="B422" s="238"/>
      <c r="C422" s="93"/>
      <c r="D422" s="92"/>
      <c r="E422" s="270"/>
      <c r="F422" s="273"/>
      <c r="G422" s="274"/>
      <c r="H422" s="279"/>
      <c r="I422" s="280"/>
      <c r="J422" s="281"/>
      <c r="K422" s="283"/>
      <c r="L422" s="273"/>
      <c r="M422" s="274"/>
      <c r="N422" s="139"/>
      <c r="O422" s="281"/>
    </row>
    <row r="423" spans="1:15" ht="17.850000000000001" customHeight="1" x14ac:dyDescent="0.25">
      <c r="A423" s="96"/>
      <c r="B423" s="238"/>
      <c r="C423" s="93"/>
      <c r="D423" s="92"/>
      <c r="E423" s="270"/>
      <c r="F423" s="273"/>
      <c r="G423" s="274"/>
      <c r="H423" s="279"/>
      <c r="I423" s="280"/>
      <c r="J423" s="281"/>
      <c r="K423" s="283"/>
      <c r="L423" s="273"/>
      <c r="M423" s="274"/>
      <c r="N423" s="139"/>
      <c r="O423" s="281"/>
    </row>
    <row r="424" spans="1:15" ht="17.850000000000001" customHeight="1" x14ac:dyDescent="0.25">
      <c r="A424" s="96"/>
      <c r="B424" s="238"/>
      <c r="C424" s="93"/>
      <c r="D424" s="92"/>
      <c r="E424" s="270"/>
      <c r="F424" s="273"/>
      <c r="G424" s="274"/>
      <c r="H424" s="279"/>
      <c r="I424" s="280"/>
      <c r="J424" s="281"/>
      <c r="K424" s="283"/>
      <c r="L424" s="273"/>
      <c r="M424" s="274"/>
      <c r="N424" s="139"/>
      <c r="O424" s="281"/>
    </row>
    <row r="425" spans="1:15" ht="17.850000000000001" customHeight="1" x14ac:dyDescent="0.25">
      <c r="A425" s="96"/>
      <c r="B425" s="238"/>
      <c r="C425" s="93"/>
      <c r="D425" s="92"/>
      <c r="E425" s="270"/>
      <c r="F425" s="273"/>
      <c r="G425" s="274"/>
      <c r="H425" s="279"/>
      <c r="I425" s="280"/>
      <c r="J425" s="281"/>
      <c r="K425" s="283"/>
      <c r="L425" s="273"/>
      <c r="M425" s="274"/>
      <c r="N425" s="139"/>
      <c r="O425" s="281"/>
    </row>
    <row r="426" spans="1:15" ht="17.850000000000001" customHeight="1" x14ac:dyDescent="0.25">
      <c r="A426" s="96"/>
      <c r="B426" s="238"/>
      <c r="C426" s="93"/>
      <c r="D426" s="92"/>
      <c r="E426" s="270"/>
      <c r="F426" s="273"/>
      <c r="G426" s="274"/>
      <c r="H426" s="279"/>
      <c r="I426" s="280"/>
      <c r="J426" s="281"/>
      <c r="K426" s="283"/>
      <c r="L426" s="273"/>
      <c r="M426" s="274"/>
      <c r="N426" s="139"/>
      <c r="O426" s="281"/>
    </row>
    <row r="427" spans="1:15" ht="17.850000000000001" customHeight="1" x14ac:dyDescent="0.25">
      <c r="A427" s="96"/>
      <c r="B427" s="238"/>
      <c r="C427" s="93"/>
      <c r="D427" s="92"/>
      <c r="E427" s="270"/>
      <c r="F427" s="273"/>
      <c r="G427" s="274"/>
      <c r="H427" s="279"/>
      <c r="I427" s="280"/>
      <c r="J427" s="281"/>
      <c r="K427" s="283"/>
      <c r="L427" s="273"/>
      <c r="M427" s="274"/>
      <c r="N427" s="139"/>
      <c r="O427" s="281"/>
    </row>
    <row r="428" spans="1:15" ht="17.850000000000001" customHeight="1" x14ac:dyDescent="0.25">
      <c r="A428" s="96"/>
      <c r="B428" s="238"/>
      <c r="C428" s="93"/>
      <c r="D428" s="92"/>
      <c r="E428" s="270"/>
      <c r="F428" s="273"/>
      <c r="G428" s="274"/>
      <c r="H428" s="279"/>
      <c r="I428" s="280"/>
      <c r="J428" s="281"/>
      <c r="K428" s="283"/>
      <c r="L428" s="273"/>
      <c r="M428" s="274"/>
      <c r="N428" s="139"/>
      <c r="O428" s="281"/>
    </row>
    <row r="429" spans="1:15" ht="17.850000000000001" customHeight="1" x14ac:dyDescent="0.25">
      <c r="A429" s="96"/>
      <c r="B429" s="238"/>
      <c r="C429" s="93"/>
      <c r="D429" s="92"/>
      <c r="E429" s="270"/>
      <c r="F429" s="273"/>
      <c r="G429" s="274"/>
      <c r="H429" s="279"/>
      <c r="I429" s="280"/>
      <c r="J429" s="281"/>
      <c r="K429" s="283"/>
      <c r="L429" s="273"/>
      <c r="M429" s="274"/>
      <c r="N429" s="139"/>
      <c r="O429" s="281"/>
    </row>
    <row r="430" spans="1:15" ht="17.850000000000001" customHeight="1" x14ac:dyDescent="0.25">
      <c r="A430" s="96"/>
      <c r="B430" s="238"/>
      <c r="C430" s="93"/>
      <c r="D430" s="92"/>
      <c r="E430" s="270"/>
      <c r="F430" s="273"/>
      <c r="G430" s="274"/>
      <c r="H430" s="279"/>
      <c r="I430" s="280"/>
      <c r="J430" s="281"/>
      <c r="K430" s="283"/>
      <c r="L430" s="273"/>
      <c r="M430" s="274"/>
      <c r="N430" s="139"/>
      <c r="O430" s="281"/>
    </row>
    <row r="431" spans="1:15" ht="17.850000000000001" customHeight="1" x14ac:dyDescent="0.25">
      <c r="A431" s="96"/>
      <c r="B431" s="238"/>
      <c r="C431" s="93"/>
      <c r="D431" s="92"/>
      <c r="E431" s="270"/>
      <c r="F431" s="273"/>
      <c r="G431" s="274"/>
      <c r="H431" s="279"/>
      <c r="I431" s="280"/>
      <c r="J431" s="281"/>
      <c r="K431" s="283"/>
      <c r="L431" s="273"/>
      <c r="M431" s="274"/>
      <c r="N431" s="139"/>
      <c r="O431" s="281"/>
    </row>
    <row r="432" spans="1:15" ht="17.850000000000001" customHeight="1" x14ac:dyDescent="0.25">
      <c r="A432" s="96"/>
      <c r="B432" s="238"/>
      <c r="C432" s="93"/>
      <c r="D432" s="92"/>
      <c r="E432" s="270"/>
      <c r="F432" s="273"/>
      <c r="G432" s="274"/>
      <c r="H432" s="279"/>
      <c r="I432" s="280"/>
      <c r="J432" s="281"/>
      <c r="K432" s="283"/>
      <c r="L432" s="273"/>
      <c r="M432" s="274"/>
      <c r="N432" s="139"/>
      <c r="O432" s="281"/>
    </row>
    <row r="433" spans="1:15" ht="17.850000000000001" customHeight="1" x14ac:dyDescent="0.25">
      <c r="A433" s="96"/>
      <c r="B433" s="238"/>
      <c r="C433" s="93"/>
      <c r="D433" s="92"/>
      <c r="E433" s="270"/>
      <c r="F433" s="273"/>
      <c r="G433" s="274"/>
      <c r="H433" s="279"/>
      <c r="I433" s="280"/>
      <c r="J433" s="281"/>
      <c r="K433" s="283"/>
      <c r="L433" s="273"/>
      <c r="M433" s="274"/>
      <c r="N433" s="139"/>
      <c r="O433" s="281"/>
    </row>
    <row r="434" spans="1:15" ht="17.850000000000001" customHeight="1" x14ac:dyDescent="0.25">
      <c r="A434" s="96"/>
      <c r="B434" s="238"/>
      <c r="C434" s="93"/>
      <c r="D434" s="92"/>
      <c r="E434" s="270"/>
      <c r="F434" s="273"/>
      <c r="G434" s="274"/>
      <c r="H434" s="279"/>
      <c r="I434" s="280"/>
      <c r="J434" s="281"/>
      <c r="K434" s="283"/>
      <c r="L434" s="273"/>
      <c r="M434" s="274"/>
      <c r="N434" s="139"/>
      <c r="O434" s="281"/>
    </row>
    <row r="435" spans="1:15" ht="17.850000000000001" customHeight="1" x14ac:dyDescent="0.25">
      <c r="A435" s="96"/>
      <c r="B435" s="238"/>
      <c r="C435" s="93"/>
      <c r="D435" s="92"/>
      <c r="E435" s="270"/>
      <c r="F435" s="273"/>
      <c r="G435" s="274"/>
      <c r="H435" s="279"/>
      <c r="I435" s="280"/>
      <c r="J435" s="281"/>
      <c r="K435" s="283"/>
      <c r="L435" s="273"/>
      <c r="M435" s="274"/>
      <c r="N435" s="139"/>
      <c r="O435" s="281"/>
    </row>
    <row r="436" spans="1:15" ht="17.850000000000001" customHeight="1" x14ac:dyDescent="0.25">
      <c r="A436" s="96"/>
      <c r="B436" s="238"/>
      <c r="C436" s="93"/>
      <c r="D436" s="92"/>
      <c r="E436" s="270"/>
      <c r="F436" s="273"/>
      <c r="G436" s="274"/>
      <c r="H436" s="279"/>
      <c r="I436" s="280"/>
      <c r="J436" s="281"/>
      <c r="K436" s="283"/>
      <c r="L436" s="273"/>
      <c r="M436" s="274"/>
      <c r="N436" s="139"/>
      <c r="O436" s="281"/>
    </row>
    <row r="437" spans="1:15" ht="17.850000000000001" customHeight="1" x14ac:dyDescent="0.25">
      <c r="A437" s="96"/>
      <c r="B437" s="238"/>
      <c r="C437" s="93"/>
      <c r="D437" s="92"/>
      <c r="E437" s="270"/>
      <c r="F437" s="273"/>
      <c r="G437" s="274"/>
      <c r="H437" s="279"/>
      <c r="I437" s="280"/>
      <c r="J437" s="281"/>
      <c r="K437" s="283"/>
      <c r="L437" s="273"/>
      <c r="M437" s="274"/>
      <c r="N437" s="139"/>
      <c r="O437" s="281"/>
    </row>
    <row r="438" spans="1:15" ht="17.850000000000001" customHeight="1" x14ac:dyDescent="0.25">
      <c r="A438" s="96"/>
      <c r="B438" s="238"/>
      <c r="C438" s="93"/>
      <c r="D438" s="92"/>
      <c r="E438" s="270"/>
      <c r="F438" s="273"/>
      <c r="G438" s="274"/>
      <c r="H438" s="279"/>
      <c r="I438" s="280"/>
      <c r="J438" s="281"/>
      <c r="K438" s="283"/>
      <c r="L438" s="273"/>
      <c r="M438" s="274"/>
      <c r="N438" s="139"/>
      <c r="O438" s="281"/>
    </row>
    <row r="439" spans="1:15" ht="17.850000000000001" customHeight="1" x14ac:dyDescent="0.25">
      <c r="A439" s="96"/>
      <c r="B439" s="238"/>
      <c r="C439" s="93"/>
      <c r="D439" s="92"/>
      <c r="E439" s="270"/>
      <c r="F439" s="273"/>
      <c r="G439" s="274"/>
      <c r="H439" s="279"/>
      <c r="I439" s="280"/>
      <c r="J439" s="281"/>
      <c r="K439" s="283"/>
      <c r="L439" s="273"/>
      <c r="M439" s="274"/>
      <c r="N439" s="139"/>
      <c r="O439" s="281"/>
    </row>
    <row r="440" spans="1:15" ht="17.850000000000001" customHeight="1" x14ac:dyDescent="0.25">
      <c r="A440" s="96"/>
      <c r="B440" s="238"/>
      <c r="C440" s="93"/>
      <c r="D440" s="92"/>
      <c r="E440" s="270"/>
      <c r="F440" s="273"/>
      <c r="G440" s="274"/>
      <c r="H440" s="279"/>
      <c r="I440" s="280"/>
      <c r="J440" s="281"/>
      <c r="K440" s="283"/>
      <c r="L440" s="273"/>
      <c r="M440" s="274"/>
      <c r="N440" s="139"/>
      <c r="O440" s="281"/>
    </row>
    <row r="441" spans="1:15" ht="17.850000000000001" customHeight="1" x14ac:dyDescent="0.25">
      <c r="A441" s="96"/>
      <c r="B441" s="238"/>
      <c r="C441" s="93"/>
      <c r="D441" s="92"/>
      <c r="E441" s="270"/>
      <c r="F441" s="273"/>
      <c r="G441" s="274"/>
      <c r="H441" s="279"/>
      <c r="I441" s="280"/>
      <c r="J441" s="281"/>
      <c r="K441" s="283"/>
      <c r="L441" s="273"/>
      <c r="M441" s="274"/>
      <c r="N441" s="139"/>
      <c r="O441" s="281"/>
    </row>
    <row r="442" spans="1:15" ht="17.850000000000001" customHeight="1" x14ac:dyDescent="0.25">
      <c r="A442" s="96"/>
      <c r="B442" s="238"/>
      <c r="C442" s="93"/>
      <c r="D442" s="92"/>
      <c r="E442" s="270"/>
      <c r="F442" s="273"/>
      <c r="G442" s="274"/>
      <c r="H442" s="279"/>
      <c r="I442" s="280"/>
      <c r="J442" s="281"/>
      <c r="K442" s="283"/>
      <c r="L442" s="273"/>
      <c r="M442" s="274"/>
      <c r="N442" s="139"/>
      <c r="O442" s="281"/>
    </row>
    <row r="443" spans="1:15" ht="17.850000000000001" customHeight="1" x14ac:dyDescent="0.25">
      <c r="A443" s="96"/>
      <c r="B443" s="238"/>
      <c r="C443" s="93"/>
      <c r="D443" s="92"/>
      <c r="E443" s="270"/>
      <c r="F443" s="273"/>
      <c r="G443" s="274"/>
      <c r="H443" s="279"/>
      <c r="I443" s="280"/>
      <c r="J443" s="281"/>
      <c r="K443" s="283"/>
      <c r="L443" s="273"/>
      <c r="M443" s="274"/>
      <c r="N443" s="139"/>
      <c r="O443" s="281"/>
    </row>
    <row r="444" spans="1:15" ht="17.850000000000001" customHeight="1" x14ac:dyDescent="0.25">
      <c r="A444" s="96"/>
      <c r="B444" s="238"/>
      <c r="C444" s="93"/>
      <c r="D444" s="92"/>
      <c r="E444" s="270"/>
      <c r="F444" s="273"/>
      <c r="G444" s="274"/>
      <c r="H444" s="279"/>
      <c r="I444" s="280"/>
      <c r="J444" s="281"/>
      <c r="K444" s="283"/>
      <c r="L444" s="273"/>
      <c r="M444" s="274"/>
      <c r="N444" s="139"/>
      <c r="O444" s="281"/>
    </row>
    <row r="445" spans="1:15" ht="17.850000000000001" customHeight="1" x14ac:dyDescent="0.25">
      <c r="A445" s="96"/>
      <c r="B445" s="238"/>
      <c r="C445" s="93"/>
      <c r="D445" s="92"/>
      <c r="E445" s="270"/>
      <c r="F445" s="273"/>
      <c r="G445" s="274"/>
      <c r="H445" s="279"/>
      <c r="I445" s="280"/>
      <c r="J445" s="281"/>
      <c r="K445" s="283"/>
      <c r="L445" s="273"/>
      <c r="M445" s="274"/>
      <c r="N445" s="139"/>
      <c r="O445" s="281"/>
    </row>
    <row r="446" spans="1:15" ht="17.850000000000001" customHeight="1" x14ac:dyDescent="0.25">
      <c r="A446" s="96"/>
      <c r="B446" s="238"/>
      <c r="C446" s="93"/>
      <c r="D446" s="92"/>
      <c r="E446" s="270"/>
      <c r="F446" s="273"/>
      <c r="G446" s="274"/>
      <c r="H446" s="279"/>
      <c r="I446" s="280"/>
      <c r="J446" s="281"/>
      <c r="K446" s="283"/>
      <c r="L446" s="273"/>
      <c r="M446" s="274"/>
      <c r="N446" s="139"/>
      <c r="O446" s="281"/>
    </row>
    <row r="447" spans="1:15" ht="17.850000000000001" customHeight="1" x14ac:dyDescent="0.25">
      <c r="A447" s="96"/>
      <c r="B447" s="238"/>
      <c r="C447" s="93"/>
      <c r="D447" s="92"/>
      <c r="E447" s="270"/>
      <c r="F447" s="273"/>
      <c r="G447" s="274"/>
      <c r="H447" s="279"/>
      <c r="I447" s="280"/>
      <c r="J447" s="281"/>
      <c r="K447" s="283"/>
      <c r="L447" s="273"/>
      <c r="M447" s="274"/>
      <c r="N447" s="139"/>
      <c r="O447" s="281"/>
    </row>
    <row r="448" spans="1:15" ht="17.850000000000001" customHeight="1" x14ac:dyDescent="0.25">
      <c r="A448" s="96"/>
      <c r="B448" s="238"/>
      <c r="C448" s="93"/>
      <c r="D448" s="92"/>
      <c r="E448" s="270"/>
      <c r="F448" s="273"/>
      <c r="G448" s="274"/>
      <c r="H448" s="279"/>
      <c r="I448" s="280"/>
      <c r="J448" s="281"/>
      <c r="K448" s="283"/>
      <c r="L448" s="273"/>
      <c r="M448" s="274"/>
      <c r="N448" s="139"/>
      <c r="O448" s="281"/>
    </row>
    <row r="449" spans="1:15" ht="17.850000000000001" customHeight="1" x14ac:dyDescent="0.25">
      <c r="A449" s="96"/>
      <c r="B449" s="238"/>
      <c r="C449" s="93"/>
      <c r="D449" s="92"/>
      <c r="E449" s="270"/>
      <c r="F449" s="273"/>
      <c r="G449" s="274"/>
      <c r="H449" s="279"/>
      <c r="I449" s="280"/>
      <c r="J449" s="281"/>
      <c r="K449" s="283"/>
      <c r="L449" s="273"/>
      <c r="M449" s="274"/>
      <c r="N449" s="139"/>
      <c r="O449" s="281"/>
    </row>
    <row r="450" spans="1:15" ht="17.850000000000001" customHeight="1" x14ac:dyDescent="0.25">
      <c r="A450" s="96"/>
      <c r="B450" s="238"/>
      <c r="C450" s="93"/>
      <c r="D450" s="92"/>
      <c r="E450" s="270"/>
      <c r="F450" s="273"/>
      <c r="G450" s="274"/>
      <c r="H450" s="279"/>
      <c r="I450" s="280"/>
      <c r="J450" s="281"/>
      <c r="K450" s="283"/>
      <c r="L450" s="273"/>
      <c r="M450" s="274"/>
      <c r="N450" s="139"/>
      <c r="O450" s="281"/>
    </row>
    <row r="451" spans="1:15" ht="17.850000000000001" customHeight="1" x14ac:dyDescent="0.25">
      <c r="A451" s="96"/>
      <c r="B451" s="238"/>
      <c r="C451" s="93"/>
      <c r="D451" s="92"/>
      <c r="E451" s="270"/>
      <c r="F451" s="273"/>
      <c r="G451" s="274"/>
      <c r="H451" s="279"/>
      <c r="I451" s="280"/>
      <c r="J451" s="281"/>
      <c r="K451" s="283"/>
      <c r="L451" s="273"/>
      <c r="M451" s="274"/>
      <c r="N451" s="139"/>
      <c r="O451" s="281"/>
    </row>
    <row r="452" spans="1:15" ht="17.850000000000001" customHeight="1" x14ac:dyDescent="0.25">
      <c r="A452" s="96"/>
      <c r="B452" s="238"/>
      <c r="C452" s="93"/>
      <c r="D452" s="92"/>
      <c r="E452" s="270"/>
      <c r="F452" s="273"/>
      <c r="G452" s="274"/>
      <c r="H452" s="279"/>
      <c r="I452" s="280"/>
      <c r="J452" s="281"/>
      <c r="K452" s="283"/>
      <c r="L452" s="273"/>
      <c r="M452" s="274"/>
      <c r="N452" s="139"/>
      <c r="O452" s="281"/>
    </row>
    <row r="453" spans="1:15" ht="17.850000000000001" customHeight="1" x14ac:dyDescent="0.25">
      <c r="A453" s="96"/>
      <c r="B453" s="238"/>
      <c r="C453" s="93"/>
      <c r="D453" s="92"/>
      <c r="E453" s="270"/>
      <c r="F453" s="273"/>
      <c r="G453" s="274"/>
      <c r="H453" s="279"/>
      <c r="I453" s="280"/>
      <c r="J453" s="281"/>
      <c r="K453" s="283"/>
      <c r="L453" s="273"/>
      <c r="M453" s="274"/>
      <c r="N453" s="139"/>
      <c r="O453" s="281"/>
    </row>
    <row r="454" spans="1:15" ht="17.850000000000001" customHeight="1" x14ac:dyDescent="0.25">
      <c r="A454" s="96"/>
      <c r="B454" s="238"/>
      <c r="C454" s="93"/>
      <c r="D454" s="92"/>
      <c r="E454" s="270"/>
      <c r="F454" s="273"/>
      <c r="G454" s="274"/>
      <c r="H454" s="279"/>
      <c r="I454" s="280"/>
      <c r="J454" s="281"/>
      <c r="K454" s="283"/>
      <c r="L454" s="273"/>
      <c r="M454" s="274"/>
      <c r="N454" s="139"/>
      <c r="O454" s="281"/>
    </row>
    <row r="455" spans="1:15" ht="17.850000000000001" customHeight="1" x14ac:dyDescent="0.25">
      <c r="A455" s="96"/>
      <c r="B455" s="238"/>
      <c r="C455" s="93"/>
      <c r="D455" s="92"/>
      <c r="E455" s="270"/>
      <c r="F455" s="273"/>
      <c r="G455" s="274"/>
      <c r="H455" s="279"/>
      <c r="I455" s="280"/>
      <c r="J455" s="281"/>
      <c r="K455" s="283"/>
      <c r="L455" s="273"/>
      <c r="M455" s="274"/>
      <c r="N455" s="139"/>
      <c r="O455" s="281"/>
    </row>
    <row r="456" spans="1:15" ht="17.850000000000001" customHeight="1" x14ac:dyDescent="0.25">
      <c r="A456" s="96"/>
      <c r="B456" s="238"/>
      <c r="C456" s="93"/>
      <c r="D456" s="92"/>
      <c r="E456" s="270"/>
      <c r="F456" s="273"/>
      <c r="G456" s="274"/>
      <c r="H456" s="279"/>
      <c r="I456" s="280"/>
      <c r="J456" s="281"/>
      <c r="K456" s="283"/>
      <c r="L456" s="273"/>
      <c r="M456" s="274"/>
      <c r="N456" s="139"/>
      <c r="O456" s="281"/>
    </row>
    <row r="457" spans="1:15" ht="17.850000000000001" customHeight="1" x14ac:dyDescent="0.25">
      <c r="A457" s="96"/>
      <c r="B457" s="238"/>
      <c r="C457" s="93"/>
      <c r="D457" s="92"/>
      <c r="E457" s="270"/>
      <c r="F457" s="273"/>
      <c r="G457" s="274"/>
      <c r="H457" s="279"/>
      <c r="I457" s="280"/>
      <c r="J457" s="281"/>
      <c r="K457" s="283"/>
      <c r="L457" s="273"/>
      <c r="M457" s="274"/>
      <c r="N457" s="139"/>
      <c r="O457" s="281"/>
    </row>
    <row r="458" spans="1:15" ht="17.850000000000001" customHeight="1" x14ac:dyDescent="0.25">
      <c r="A458" s="96"/>
      <c r="B458" s="238"/>
      <c r="C458" s="93"/>
      <c r="D458" s="92"/>
      <c r="E458" s="270"/>
      <c r="F458" s="273"/>
      <c r="G458" s="274"/>
      <c r="H458" s="279"/>
      <c r="I458" s="280"/>
      <c r="J458" s="281"/>
      <c r="K458" s="283"/>
      <c r="L458" s="273"/>
      <c r="M458" s="274"/>
      <c r="N458" s="139"/>
      <c r="O458" s="281"/>
    </row>
    <row r="459" spans="1:15" ht="17.850000000000001" customHeight="1" x14ac:dyDescent="0.25">
      <c r="A459" s="96"/>
      <c r="B459" s="238"/>
      <c r="C459" s="93"/>
      <c r="D459" s="92"/>
      <c r="E459" s="270"/>
      <c r="F459" s="273"/>
      <c r="G459" s="274"/>
      <c r="H459" s="279"/>
      <c r="I459" s="280"/>
      <c r="J459" s="281"/>
      <c r="K459" s="283"/>
      <c r="L459" s="273"/>
      <c r="M459" s="274"/>
      <c r="N459" s="139"/>
      <c r="O459" s="281"/>
    </row>
    <row r="460" spans="1:15" ht="17.850000000000001" customHeight="1" x14ac:dyDescent="0.25">
      <c r="A460" s="96"/>
      <c r="B460" s="238"/>
      <c r="C460" s="93"/>
      <c r="D460" s="92"/>
      <c r="E460" s="270"/>
      <c r="F460" s="273"/>
      <c r="G460" s="274"/>
      <c r="H460" s="279"/>
      <c r="I460" s="280"/>
      <c r="J460" s="281"/>
      <c r="K460" s="283"/>
      <c r="L460" s="273"/>
      <c r="M460" s="274"/>
      <c r="N460" s="139"/>
      <c r="O460" s="281"/>
    </row>
    <row r="461" spans="1:15" ht="17.850000000000001" customHeight="1" x14ac:dyDescent="0.25">
      <c r="A461" s="96"/>
      <c r="B461" s="238"/>
      <c r="C461" s="93"/>
      <c r="D461" s="92"/>
      <c r="E461" s="270"/>
      <c r="F461" s="273"/>
      <c r="G461" s="274"/>
      <c r="H461" s="279"/>
      <c r="I461" s="280"/>
      <c r="J461" s="281"/>
      <c r="K461" s="283"/>
      <c r="L461" s="273"/>
      <c r="M461" s="274"/>
      <c r="N461" s="139"/>
      <c r="O461" s="281"/>
    </row>
    <row r="462" spans="1:15" ht="17.850000000000001" customHeight="1" x14ac:dyDescent="0.25">
      <c r="A462" s="96"/>
      <c r="B462" s="238"/>
      <c r="C462" s="93"/>
      <c r="D462" s="92"/>
      <c r="E462" s="270"/>
      <c r="F462" s="273"/>
      <c r="G462" s="274"/>
      <c r="H462" s="279"/>
      <c r="I462" s="280"/>
      <c r="J462" s="281"/>
      <c r="K462" s="283"/>
      <c r="L462" s="273"/>
      <c r="M462" s="274"/>
      <c r="N462" s="139"/>
      <c r="O462" s="281"/>
    </row>
    <row r="463" spans="1:15" ht="17.850000000000001" customHeight="1" x14ac:dyDescent="0.25">
      <c r="A463" s="96"/>
      <c r="B463" s="238"/>
      <c r="C463" s="93"/>
      <c r="D463" s="92"/>
      <c r="E463" s="270"/>
      <c r="F463" s="273"/>
      <c r="G463" s="274"/>
      <c r="H463" s="279"/>
      <c r="I463" s="280"/>
      <c r="J463" s="281"/>
      <c r="K463" s="283"/>
      <c r="L463" s="273"/>
      <c r="M463" s="274"/>
      <c r="N463" s="139"/>
      <c r="O463" s="281"/>
    </row>
    <row r="464" spans="1:15" ht="17.850000000000001" customHeight="1" x14ac:dyDescent="0.25">
      <c r="A464" s="96"/>
      <c r="B464" s="238"/>
      <c r="C464" s="93"/>
      <c r="D464" s="92"/>
      <c r="E464" s="270"/>
      <c r="F464" s="273"/>
      <c r="G464" s="274"/>
      <c r="H464" s="279"/>
      <c r="I464" s="280"/>
      <c r="J464" s="281"/>
      <c r="K464" s="283"/>
      <c r="L464" s="273"/>
      <c r="M464" s="274"/>
      <c r="N464" s="139"/>
      <c r="O464" s="281"/>
    </row>
    <row r="465" spans="1:15" ht="17.850000000000001" customHeight="1" x14ac:dyDescent="0.25">
      <c r="A465" s="96"/>
      <c r="B465" s="238"/>
      <c r="C465" s="93"/>
      <c r="D465" s="92"/>
      <c r="E465" s="270"/>
      <c r="F465" s="273"/>
      <c r="G465" s="274"/>
      <c r="H465" s="279"/>
      <c r="I465" s="280"/>
      <c r="J465" s="281"/>
      <c r="K465" s="283"/>
      <c r="L465" s="273"/>
      <c r="M465" s="274"/>
      <c r="N465" s="139"/>
      <c r="O465" s="281"/>
    </row>
    <row r="466" spans="1:15" ht="17.850000000000001" customHeight="1" x14ac:dyDescent="0.25">
      <c r="A466" s="96"/>
      <c r="B466" s="238"/>
      <c r="C466" s="93"/>
      <c r="D466" s="92"/>
      <c r="E466" s="270"/>
      <c r="F466" s="273"/>
      <c r="G466" s="274"/>
      <c r="H466" s="279"/>
      <c r="I466" s="280"/>
      <c r="J466" s="281"/>
      <c r="K466" s="283"/>
      <c r="L466" s="273"/>
      <c r="M466" s="274"/>
      <c r="N466" s="139"/>
      <c r="O466" s="281"/>
    </row>
    <row r="467" spans="1:15" ht="17.850000000000001" customHeight="1" x14ac:dyDescent="0.25">
      <c r="A467" s="96"/>
      <c r="B467" s="238"/>
      <c r="C467" s="93"/>
      <c r="D467" s="92"/>
      <c r="E467" s="270"/>
      <c r="F467" s="273"/>
      <c r="G467" s="274"/>
      <c r="H467" s="279"/>
      <c r="I467" s="280"/>
      <c r="J467" s="281"/>
      <c r="K467" s="283"/>
      <c r="L467" s="273"/>
      <c r="M467" s="274"/>
      <c r="N467" s="139"/>
      <c r="O467" s="281"/>
    </row>
    <row r="468" spans="1:15" ht="17.850000000000001" customHeight="1" x14ac:dyDescent="0.25">
      <c r="A468" s="96"/>
      <c r="B468" s="238"/>
      <c r="C468" s="93"/>
      <c r="D468" s="92"/>
      <c r="E468" s="270"/>
      <c r="F468" s="273"/>
      <c r="G468" s="274"/>
      <c r="H468" s="279"/>
      <c r="I468" s="280"/>
      <c r="J468" s="281"/>
      <c r="K468" s="283"/>
      <c r="L468" s="273"/>
      <c r="M468" s="274"/>
      <c r="N468" s="139"/>
      <c r="O468" s="281"/>
    </row>
    <row r="469" spans="1:15" ht="17.850000000000001" customHeight="1" x14ac:dyDescent="0.25">
      <c r="A469" s="96"/>
      <c r="B469" s="238"/>
      <c r="C469" s="93"/>
      <c r="D469" s="92"/>
      <c r="E469" s="270"/>
      <c r="F469" s="273"/>
      <c r="G469" s="274"/>
      <c r="H469" s="279"/>
      <c r="I469" s="280"/>
      <c r="J469" s="281"/>
      <c r="K469" s="283"/>
      <c r="L469" s="273"/>
      <c r="M469" s="274"/>
      <c r="N469" s="139"/>
      <c r="O469" s="281"/>
    </row>
    <row r="470" spans="1:15" ht="17.850000000000001" customHeight="1" x14ac:dyDescent="0.25">
      <c r="A470" s="96"/>
      <c r="B470" s="238"/>
      <c r="C470" s="93"/>
      <c r="D470" s="92"/>
      <c r="E470" s="270"/>
      <c r="F470" s="273"/>
      <c r="G470" s="274"/>
      <c r="H470" s="279"/>
      <c r="I470" s="280"/>
      <c r="J470" s="281"/>
      <c r="K470" s="283"/>
      <c r="L470" s="273"/>
      <c r="M470" s="274"/>
      <c r="N470" s="139"/>
      <c r="O470" s="281"/>
    </row>
    <row r="471" spans="1:15" ht="17.850000000000001" customHeight="1" x14ac:dyDescent="0.25">
      <c r="A471" s="96"/>
      <c r="B471" s="238"/>
      <c r="C471" s="93"/>
      <c r="D471" s="92"/>
      <c r="E471" s="270"/>
      <c r="F471" s="273"/>
      <c r="G471" s="274"/>
      <c r="H471" s="279"/>
      <c r="I471" s="280"/>
      <c r="J471" s="281"/>
      <c r="K471" s="283"/>
      <c r="L471" s="273"/>
      <c r="M471" s="274"/>
      <c r="N471" s="139"/>
      <c r="O471" s="281"/>
    </row>
    <row r="472" spans="1:15" ht="17.850000000000001" customHeight="1" x14ac:dyDescent="0.25">
      <c r="A472" s="96"/>
      <c r="B472" s="238"/>
      <c r="C472" s="93"/>
      <c r="D472" s="92"/>
      <c r="E472" s="270"/>
      <c r="F472" s="273"/>
      <c r="G472" s="274"/>
      <c r="H472" s="279"/>
      <c r="I472" s="280"/>
      <c r="J472" s="281"/>
      <c r="K472" s="283"/>
      <c r="L472" s="273"/>
      <c r="M472" s="274"/>
      <c r="N472" s="139"/>
      <c r="O472" s="281"/>
    </row>
    <row r="473" spans="1:15" ht="17.850000000000001" customHeight="1" x14ac:dyDescent="0.25">
      <c r="A473" s="96"/>
      <c r="B473" s="238"/>
      <c r="C473" s="93"/>
      <c r="D473" s="92"/>
      <c r="E473" s="270"/>
      <c r="F473" s="273"/>
      <c r="G473" s="274"/>
      <c r="H473" s="279"/>
      <c r="I473" s="280"/>
      <c r="J473" s="281"/>
      <c r="K473" s="283"/>
      <c r="L473" s="273"/>
      <c r="M473" s="274"/>
      <c r="N473" s="139"/>
      <c r="O473" s="281"/>
    </row>
    <row r="474" spans="1:15" ht="17.850000000000001" customHeight="1" x14ac:dyDescent="0.25">
      <c r="A474" s="96"/>
      <c r="B474" s="238"/>
      <c r="C474" s="93"/>
      <c r="D474" s="92"/>
      <c r="E474" s="270"/>
      <c r="F474" s="273"/>
      <c r="G474" s="274"/>
      <c r="H474" s="279"/>
      <c r="I474" s="280"/>
      <c r="J474" s="281"/>
      <c r="K474" s="283"/>
      <c r="L474" s="273"/>
      <c r="M474" s="274"/>
      <c r="N474" s="139"/>
      <c r="O474" s="281"/>
    </row>
    <row r="475" spans="1:15" ht="17.850000000000001" customHeight="1" x14ac:dyDescent="0.25">
      <c r="A475" s="96"/>
      <c r="B475" s="238"/>
      <c r="C475" s="93"/>
      <c r="D475" s="92"/>
      <c r="E475" s="270"/>
      <c r="F475" s="273"/>
      <c r="G475" s="274"/>
      <c r="H475" s="279"/>
      <c r="I475" s="280"/>
      <c r="J475" s="281"/>
      <c r="K475" s="283"/>
      <c r="L475" s="273"/>
      <c r="M475" s="274"/>
      <c r="N475" s="139"/>
      <c r="O475" s="281"/>
    </row>
    <row r="476" spans="1:15" ht="17.850000000000001" customHeight="1" x14ac:dyDescent="0.25">
      <c r="A476" s="96"/>
      <c r="B476" s="238"/>
      <c r="C476" s="93"/>
      <c r="D476" s="92"/>
      <c r="E476" s="270"/>
      <c r="F476" s="273"/>
      <c r="G476" s="274"/>
      <c r="H476" s="279"/>
      <c r="I476" s="280"/>
      <c r="J476" s="281"/>
      <c r="K476" s="283"/>
      <c r="L476" s="273"/>
      <c r="M476" s="274"/>
      <c r="N476" s="139"/>
      <c r="O476" s="281"/>
    </row>
    <row r="477" spans="1:15" ht="17.850000000000001" customHeight="1" x14ac:dyDescent="0.25">
      <c r="A477" s="96"/>
      <c r="B477" s="238"/>
      <c r="C477" s="93"/>
      <c r="D477" s="92"/>
      <c r="E477" s="270"/>
      <c r="F477" s="273"/>
      <c r="G477" s="274"/>
      <c r="H477" s="279"/>
      <c r="I477" s="280"/>
      <c r="J477" s="281"/>
      <c r="K477" s="283"/>
      <c r="L477" s="273"/>
      <c r="M477" s="274"/>
      <c r="N477" s="139"/>
      <c r="O477" s="281"/>
    </row>
    <row r="478" spans="1:15" ht="17.850000000000001" customHeight="1" x14ac:dyDescent="0.25">
      <c r="A478" s="96"/>
      <c r="B478" s="238"/>
      <c r="C478" s="93"/>
      <c r="D478" s="92"/>
      <c r="E478" s="270"/>
      <c r="F478" s="273"/>
      <c r="G478" s="274"/>
      <c r="H478" s="279"/>
      <c r="I478" s="280"/>
      <c r="J478" s="281"/>
      <c r="K478" s="283"/>
      <c r="L478" s="273"/>
      <c r="M478" s="274"/>
      <c r="N478" s="139"/>
      <c r="O478" s="281"/>
    </row>
    <row r="479" spans="1:15" ht="17.850000000000001" customHeight="1" x14ac:dyDescent="0.25">
      <c r="A479" s="96"/>
      <c r="B479" s="238"/>
      <c r="C479" s="93"/>
      <c r="D479" s="92"/>
      <c r="E479" s="270"/>
      <c r="F479" s="273"/>
      <c r="G479" s="274"/>
      <c r="H479" s="279"/>
      <c r="I479" s="280"/>
      <c r="J479" s="281"/>
      <c r="K479" s="283"/>
      <c r="L479" s="273"/>
      <c r="M479" s="274"/>
      <c r="N479" s="139"/>
      <c r="O479" s="281"/>
    </row>
    <row r="480" spans="1:15" ht="17.850000000000001" customHeight="1" x14ac:dyDescent="0.25">
      <c r="A480" s="96"/>
      <c r="B480" s="238"/>
      <c r="C480" s="93"/>
      <c r="D480" s="92"/>
      <c r="E480" s="270"/>
      <c r="F480" s="273"/>
      <c r="G480" s="274"/>
      <c r="H480" s="279"/>
      <c r="I480" s="280"/>
      <c r="J480" s="281"/>
      <c r="K480" s="283"/>
      <c r="L480" s="273"/>
      <c r="M480" s="274"/>
      <c r="N480" s="139"/>
      <c r="O480" s="281"/>
    </row>
    <row r="481" spans="1:15" ht="17.850000000000001" customHeight="1" x14ac:dyDescent="0.25">
      <c r="A481" s="96"/>
      <c r="B481" s="238"/>
      <c r="C481" s="93"/>
      <c r="D481" s="92"/>
      <c r="E481" s="270"/>
      <c r="F481" s="273"/>
      <c r="G481" s="274"/>
      <c r="H481" s="279"/>
      <c r="I481" s="280"/>
      <c r="J481" s="281"/>
      <c r="K481" s="283"/>
      <c r="L481" s="273"/>
      <c r="M481" s="274"/>
      <c r="N481" s="139"/>
      <c r="O481" s="281"/>
    </row>
    <row r="482" spans="1:15" ht="17.850000000000001" customHeight="1" x14ac:dyDescent="0.25">
      <c r="A482" s="96"/>
      <c r="B482" s="238"/>
      <c r="C482" s="93"/>
      <c r="D482" s="92"/>
      <c r="E482" s="270"/>
      <c r="F482" s="273"/>
      <c r="G482" s="274"/>
      <c r="H482" s="279"/>
      <c r="I482" s="280"/>
      <c r="J482" s="281"/>
      <c r="K482" s="283"/>
      <c r="L482" s="273"/>
      <c r="M482" s="274"/>
      <c r="N482" s="139"/>
      <c r="O482" s="281"/>
    </row>
    <row r="483" spans="1:15" ht="17.850000000000001" customHeight="1" x14ac:dyDescent="0.25">
      <c r="A483" s="96"/>
      <c r="B483" s="238"/>
      <c r="C483" s="93"/>
      <c r="D483" s="92"/>
      <c r="E483" s="270"/>
      <c r="F483" s="273"/>
      <c r="G483" s="274"/>
      <c r="H483" s="279"/>
      <c r="I483" s="280"/>
      <c r="J483" s="281"/>
      <c r="K483" s="283"/>
      <c r="L483" s="273"/>
      <c r="M483" s="274"/>
      <c r="N483" s="139"/>
      <c r="O483" s="281"/>
    </row>
    <row r="484" spans="1:15" ht="17.850000000000001" customHeight="1" x14ac:dyDescent="0.25">
      <c r="A484" s="96"/>
      <c r="B484" s="238"/>
      <c r="C484" s="93"/>
      <c r="D484" s="92"/>
      <c r="E484" s="270"/>
      <c r="F484" s="273"/>
      <c r="G484" s="274"/>
      <c r="H484" s="279"/>
      <c r="I484" s="280"/>
      <c r="J484" s="281"/>
      <c r="K484" s="283"/>
      <c r="L484" s="273"/>
      <c r="M484" s="274"/>
      <c r="N484" s="139"/>
      <c r="O484" s="281"/>
    </row>
    <row r="485" spans="1:15" ht="17.850000000000001" customHeight="1" x14ac:dyDescent="0.25">
      <c r="A485" s="96"/>
      <c r="B485" s="238"/>
      <c r="C485" s="93"/>
      <c r="D485" s="92"/>
      <c r="E485" s="270"/>
      <c r="F485" s="273"/>
      <c r="G485" s="274"/>
      <c r="H485" s="279"/>
      <c r="I485" s="280"/>
      <c r="J485" s="281"/>
      <c r="K485" s="283"/>
      <c r="L485" s="273"/>
      <c r="M485" s="274"/>
      <c r="N485" s="139"/>
      <c r="O485" s="281"/>
    </row>
    <row r="486" spans="1:15" ht="17.850000000000001" customHeight="1" x14ac:dyDescent="0.25">
      <c r="A486" s="96"/>
      <c r="B486" s="238"/>
      <c r="C486" s="93"/>
      <c r="D486" s="92"/>
      <c r="E486" s="270"/>
      <c r="F486" s="273"/>
      <c r="G486" s="274"/>
      <c r="H486" s="279"/>
      <c r="I486" s="280"/>
      <c r="J486" s="281"/>
      <c r="K486" s="283"/>
      <c r="L486" s="273"/>
      <c r="M486" s="274"/>
      <c r="N486" s="139"/>
      <c r="O486" s="281"/>
    </row>
    <row r="487" spans="1:15" ht="17.850000000000001" customHeight="1" x14ac:dyDescent="0.25">
      <c r="A487" s="96"/>
      <c r="B487" s="238"/>
      <c r="C487" s="93"/>
      <c r="D487" s="92"/>
      <c r="E487" s="270"/>
      <c r="F487" s="273"/>
      <c r="G487" s="274"/>
      <c r="H487" s="279"/>
      <c r="I487" s="280"/>
      <c r="J487" s="281"/>
      <c r="K487" s="283"/>
      <c r="L487" s="273"/>
      <c r="M487" s="274"/>
      <c r="N487" s="139"/>
      <c r="O487" s="281"/>
    </row>
    <row r="488" spans="1:15" ht="17.850000000000001" customHeight="1" x14ac:dyDescent="0.25">
      <c r="A488" s="96"/>
      <c r="B488" s="238"/>
      <c r="C488" s="93"/>
      <c r="D488" s="92"/>
      <c r="E488" s="270"/>
      <c r="F488" s="273"/>
      <c r="G488" s="274"/>
      <c r="H488" s="279"/>
      <c r="I488" s="280"/>
      <c r="J488" s="281"/>
      <c r="K488" s="283"/>
      <c r="L488" s="273"/>
      <c r="M488" s="274"/>
      <c r="N488" s="139"/>
      <c r="O488" s="281"/>
    </row>
    <row r="489" spans="1:15" ht="17.850000000000001" customHeight="1" x14ac:dyDescent="0.25">
      <c r="A489" s="96"/>
      <c r="B489" s="238"/>
      <c r="C489" s="93"/>
      <c r="D489" s="92"/>
      <c r="E489" s="270"/>
      <c r="F489" s="273"/>
      <c r="G489" s="274"/>
      <c r="H489" s="279"/>
      <c r="I489" s="280"/>
      <c r="J489" s="281"/>
      <c r="K489" s="283"/>
      <c r="L489" s="273"/>
      <c r="M489" s="274"/>
      <c r="N489" s="139"/>
      <c r="O489" s="281"/>
    </row>
    <row r="490" spans="1:15" ht="17.850000000000001" customHeight="1" x14ac:dyDescent="0.25">
      <c r="A490" s="96"/>
      <c r="B490" s="238"/>
      <c r="C490" s="93"/>
      <c r="D490" s="92"/>
      <c r="E490" s="270"/>
      <c r="F490" s="273"/>
      <c r="G490" s="274"/>
      <c r="H490" s="279"/>
      <c r="I490" s="280"/>
      <c r="J490" s="281"/>
      <c r="K490" s="283"/>
      <c r="L490" s="273"/>
      <c r="M490" s="274"/>
      <c r="N490" s="139"/>
      <c r="O490" s="281"/>
    </row>
    <row r="491" spans="1:15" ht="17.850000000000001" customHeight="1" x14ac:dyDescent="0.25">
      <c r="A491" s="96"/>
      <c r="B491" s="238"/>
      <c r="C491" s="93"/>
      <c r="D491" s="92"/>
      <c r="E491" s="270"/>
      <c r="F491" s="273"/>
      <c r="G491" s="274"/>
      <c r="H491" s="279"/>
      <c r="I491" s="280"/>
      <c r="J491" s="281"/>
      <c r="K491" s="283"/>
      <c r="L491" s="273"/>
      <c r="M491" s="274"/>
      <c r="N491" s="139"/>
      <c r="O491" s="281"/>
    </row>
    <row r="492" spans="1:15" ht="17.850000000000001" customHeight="1" x14ac:dyDescent="0.25">
      <c r="A492" s="96"/>
      <c r="B492" s="238"/>
      <c r="C492" s="93"/>
      <c r="D492" s="92"/>
      <c r="E492" s="270"/>
      <c r="F492" s="273"/>
      <c r="G492" s="274"/>
      <c r="H492" s="279"/>
      <c r="I492" s="280"/>
      <c r="J492" s="281"/>
      <c r="K492" s="283"/>
      <c r="L492" s="273"/>
      <c r="M492" s="274"/>
      <c r="N492" s="139"/>
      <c r="O492" s="281"/>
    </row>
    <row r="493" spans="1:15" ht="17.850000000000001" customHeight="1" x14ac:dyDescent="0.25">
      <c r="A493" s="96"/>
      <c r="B493" s="238"/>
      <c r="C493" s="93"/>
      <c r="D493" s="92"/>
      <c r="E493" s="270"/>
      <c r="F493" s="273"/>
      <c r="G493" s="274"/>
      <c r="H493" s="279"/>
      <c r="I493" s="280"/>
      <c r="J493" s="281"/>
      <c r="K493" s="283"/>
      <c r="L493" s="273"/>
      <c r="M493" s="274"/>
      <c r="N493" s="139"/>
      <c r="O493" s="281"/>
    </row>
    <row r="494" spans="1:15" ht="17.850000000000001" customHeight="1" x14ac:dyDescent="0.25">
      <c r="A494" s="96"/>
      <c r="B494" s="238"/>
      <c r="C494" s="93"/>
      <c r="D494" s="92"/>
      <c r="E494" s="270"/>
      <c r="F494" s="273"/>
      <c r="G494" s="274"/>
      <c r="H494" s="279"/>
      <c r="I494" s="280"/>
      <c r="J494" s="281"/>
      <c r="K494" s="283"/>
      <c r="L494" s="273"/>
      <c r="M494" s="274"/>
      <c r="N494" s="139"/>
      <c r="O494" s="281"/>
    </row>
    <row r="495" spans="1:15" ht="17.850000000000001" customHeight="1" x14ac:dyDescent="0.25">
      <c r="A495" s="96"/>
      <c r="B495" s="238"/>
      <c r="C495" s="93"/>
      <c r="D495" s="92"/>
      <c r="E495" s="270"/>
      <c r="F495" s="273"/>
      <c r="G495" s="274"/>
      <c r="H495" s="279"/>
      <c r="I495" s="280"/>
      <c r="J495" s="281"/>
      <c r="K495" s="283"/>
      <c r="L495" s="273"/>
      <c r="M495" s="274"/>
      <c r="N495" s="139"/>
      <c r="O495" s="281"/>
    </row>
    <row r="496" spans="1:15" ht="17.850000000000001" customHeight="1" x14ac:dyDescent="0.25">
      <c r="A496" s="96"/>
      <c r="B496" s="238"/>
      <c r="C496" s="93"/>
      <c r="D496" s="92"/>
      <c r="E496" s="270"/>
      <c r="F496" s="273"/>
      <c r="G496" s="274"/>
      <c r="H496" s="279"/>
      <c r="I496" s="280"/>
      <c r="J496" s="281"/>
      <c r="K496" s="283"/>
      <c r="L496" s="273"/>
      <c r="M496" s="274"/>
      <c r="N496" s="139"/>
      <c r="O496" s="281"/>
    </row>
    <row r="497" spans="1:15" ht="17.850000000000001" customHeight="1" x14ac:dyDescent="0.25">
      <c r="A497" s="96"/>
      <c r="B497" s="238"/>
      <c r="C497" s="93"/>
      <c r="D497" s="92"/>
      <c r="E497" s="270"/>
      <c r="F497" s="273"/>
      <c r="G497" s="274"/>
      <c r="H497" s="279"/>
      <c r="I497" s="280"/>
      <c r="J497" s="281"/>
      <c r="K497" s="283"/>
      <c r="L497" s="273"/>
      <c r="M497" s="274"/>
      <c r="N497" s="139"/>
      <c r="O497" s="281"/>
    </row>
    <row r="498" spans="1:15" ht="17.850000000000001" customHeight="1" x14ac:dyDescent="0.25">
      <c r="A498" s="96"/>
      <c r="B498" s="238"/>
      <c r="C498" s="93"/>
      <c r="D498" s="92"/>
      <c r="E498" s="270"/>
      <c r="F498" s="273"/>
      <c r="G498" s="274"/>
      <c r="H498" s="279"/>
      <c r="I498" s="280"/>
      <c r="J498" s="281"/>
      <c r="K498" s="283"/>
      <c r="L498" s="273"/>
      <c r="M498" s="274"/>
      <c r="N498" s="139"/>
      <c r="O498" s="281"/>
    </row>
    <row r="499" spans="1:15" ht="17.850000000000001" customHeight="1" x14ac:dyDescent="0.25">
      <c r="A499" s="96"/>
      <c r="B499" s="238"/>
      <c r="C499" s="93"/>
      <c r="D499" s="92"/>
      <c r="E499" s="270"/>
      <c r="F499" s="273"/>
      <c r="G499" s="274"/>
      <c r="H499" s="279"/>
      <c r="I499" s="280"/>
      <c r="J499" s="281"/>
      <c r="K499" s="283"/>
      <c r="L499" s="273"/>
      <c r="M499" s="274"/>
      <c r="N499" s="139"/>
      <c r="O499" s="281"/>
    </row>
    <row r="500" spans="1:15" ht="17.850000000000001" customHeight="1" x14ac:dyDescent="0.25">
      <c r="A500" s="96"/>
      <c r="B500" s="238"/>
      <c r="C500" s="93"/>
      <c r="D500" s="92"/>
      <c r="E500" s="270"/>
      <c r="F500" s="273"/>
      <c r="G500" s="274"/>
      <c r="H500" s="279"/>
      <c r="I500" s="280"/>
      <c r="J500" s="281"/>
      <c r="K500" s="283"/>
      <c r="L500" s="273"/>
      <c r="M500" s="274"/>
      <c r="N500" s="139"/>
      <c r="O500" s="281"/>
    </row>
    <row r="501" spans="1:15" ht="17.850000000000001" customHeight="1" x14ac:dyDescent="0.25">
      <c r="A501" s="96"/>
      <c r="B501" s="238"/>
      <c r="C501" s="93"/>
      <c r="D501" s="92"/>
      <c r="E501" s="270"/>
      <c r="F501" s="273"/>
      <c r="G501" s="274"/>
      <c r="H501" s="279"/>
      <c r="I501" s="280"/>
      <c r="J501" s="281"/>
      <c r="K501" s="283"/>
      <c r="L501" s="273"/>
      <c r="M501" s="274"/>
      <c r="N501" s="139"/>
      <c r="O501" s="281"/>
    </row>
    <row r="502" spans="1:15" ht="17.850000000000001" customHeight="1" x14ac:dyDescent="0.25">
      <c r="A502" s="96"/>
      <c r="B502" s="238"/>
      <c r="C502" s="93"/>
      <c r="D502" s="92"/>
      <c r="E502" s="270"/>
      <c r="F502" s="273"/>
      <c r="G502" s="274"/>
      <c r="H502" s="279"/>
      <c r="I502" s="280"/>
      <c r="J502" s="281"/>
      <c r="K502" s="283"/>
      <c r="L502" s="273"/>
      <c r="M502" s="274"/>
      <c r="N502" s="139"/>
      <c r="O502" s="281"/>
    </row>
    <row r="503" spans="1:15" ht="17.850000000000001" customHeight="1" x14ac:dyDescent="0.25">
      <c r="A503" s="96"/>
      <c r="B503" s="238"/>
      <c r="C503" s="93"/>
      <c r="D503" s="92"/>
      <c r="E503" s="270"/>
      <c r="F503" s="273"/>
      <c r="G503" s="274"/>
      <c r="H503" s="279"/>
      <c r="I503" s="280"/>
      <c r="J503" s="281"/>
      <c r="K503" s="283"/>
      <c r="L503" s="273"/>
      <c r="M503" s="274"/>
      <c r="N503" s="139"/>
      <c r="O503" s="281"/>
    </row>
    <row r="504" spans="1:15" ht="17.850000000000001" customHeight="1" x14ac:dyDescent="0.25">
      <c r="A504" s="96"/>
      <c r="B504" s="238"/>
      <c r="C504" s="93"/>
      <c r="D504" s="92"/>
      <c r="E504" s="270"/>
      <c r="F504" s="273"/>
      <c r="G504" s="274"/>
      <c r="H504" s="279"/>
      <c r="I504" s="280"/>
      <c r="J504" s="281"/>
      <c r="K504" s="283"/>
      <c r="L504" s="273"/>
      <c r="M504" s="274"/>
      <c r="N504" s="139"/>
      <c r="O504" s="281"/>
    </row>
    <row r="505" spans="1:15" ht="17.850000000000001" customHeight="1" x14ac:dyDescent="0.25">
      <c r="A505" s="96"/>
      <c r="B505" s="238"/>
      <c r="C505" s="93"/>
      <c r="D505" s="92"/>
      <c r="E505" s="270"/>
      <c r="F505" s="273"/>
      <c r="G505" s="274"/>
      <c r="H505" s="279"/>
      <c r="I505" s="280"/>
      <c r="J505" s="281"/>
      <c r="K505" s="283"/>
      <c r="L505" s="273"/>
      <c r="M505" s="274"/>
      <c r="N505" s="139"/>
      <c r="O505" s="281"/>
    </row>
    <row r="506" spans="1:15" ht="17.850000000000001" customHeight="1" x14ac:dyDescent="0.25">
      <c r="A506" s="96"/>
      <c r="B506" s="238"/>
      <c r="C506" s="93"/>
      <c r="D506" s="92"/>
      <c r="E506" s="270"/>
      <c r="F506" s="273"/>
      <c r="G506" s="274"/>
      <c r="H506" s="279"/>
      <c r="I506" s="280"/>
      <c r="J506" s="281"/>
      <c r="K506" s="283"/>
      <c r="L506" s="273"/>
      <c r="M506" s="274"/>
      <c r="N506" s="139"/>
      <c r="O506" s="281"/>
    </row>
    <row r="507" spans="1:15" ht="17.850000000000001" customHeight="1" x14ac:dyDescent="0.25">
      <c r="A507" s="96"/>
      <c r="B507" s="238"/>
      <c r="C507" s="93"/>
      <c r="D507" s="92"/>
      <c r="E507" s="270"/>
      <c r="F507" s="273"/>
      <c r="G507" s="274"/>
      <c r="H507" s="279"/>
      <c r="I507" s="280"/>
      <c r="J507" s="281"/>
      <c r="K507" s="283"/>
      <c r="L507" s="273"/>
      <c r="M507" s="274"/>
      <c r="N507" s="139"/>
      <c r="O507" s="281"/>
    </row>
    <row r="508" spans="1:15" ht="17.850000000000001" customHeight="1" x14ac:dyDescent="0.25">
      <c r="A508" s="96"/>
      <c r="B508" s="238"/>
      <c r="C508" s="93"/>
      <c r="D508" s="92"/>
      <c r="E508" s="270"/>
      <c r="F508" s="273"/>
      <c r="G508" s="274"/>
      <c r="H508" s="279"/>
      <c r="I508" s="280"/>
      <c r="J508" s="281"/>
      <c r="K508" s="283"/>
      <c r="L508" s="273"/>
      <c r="M508" s="274"/>
      <c r="N508" s="139"/>
      <c r="O508" s="281"/>
    </row>
    <row r="509" spans="1:15" ht="17.850000000000001" customHeight="1" x14ac:dyDescent="0.25">
      <c r="A509" s="96"/>
      <c r="B509" s="238"/>
      <c r="C509" s="93"/>
      <c r="D509" s="92"/>
      <c r="E509" s="270"/>
      <c r="F509" s="273"/>
      <c r="G509" s="274"/>
      <c r="H509" s="279"/>
      <c r="I509" s="280"/>
      <c r="J509" s="281"/>
      <c r="K509" s="283"/>
      <c r="L509" s="273"/>
      <c r="M509" s="274"/>
      <c r="N509" s="139"/>
      <c r="O509" s="281"/>
    </row>
    <row r="510" spans="1:15" ht="17.850000000000001" customHeight="1" x14ac:dyDescent="0.25">
      <c r="A510" s="96"/>
      <c r="B510" s="238"/>
      <c r="C510" s="93"/>
      <c r="D510" s="92"/>
      <c r="E510" s="270"/>
      <c r="F510" s="273"/>
      <c r="G510" s="274"/>
      <c r="H510" s="279"/>
      <c r="I510" s="280"/>
      <c r="J510" s="281"/>
      <c r="K510" s="283"/>
      <c r="L510" s="273"/>
      <c r="M510" s="274"/>
      <c r="N510" s="139"/>
      <c r="O510" s="281"/>
    </row>
    <row r="511" spans="1:15" ht="17.850000000000001" customHeight="1" x14ac:dyDescent="0.25">
      <c r="A511" s="96"/>
      <c r="B511" s="238"/>
      <c r="C511" s="93"/>
      <c r="D511" s="92"/>
      <c r="E511" s="270"/>
      <c r="F511" s="273"/>
      <c r="G511" s="274"/>
      <c r="H511" s="279"/>
      <c r="I511" s="280"/>
      <c r="J511" s="281"/>
      <c r="K511" s="283"/>
      <c r="L511" s="273"/>
      <c r="M511" s="274"/>
      <c r="N511" s="139"/>
      <c r="O511" s="281"/>
    </row>
    <row r="512" spans="1:15" ht="17.850000000000001" customHeight="1" x14ac:dyDescent="0.25">
      <c r="A512" s="96"/>
      <c r="B512" s="238"/>
      <c r="C512" s="93"/>
      <c r="D512" s="92"/>
      <c r="E512" s="270"/>
      <c r="F512" s="273"/>
      <c r="G512" s="274"/>
      <c r="H512" s="279"/>
      <c r="I512" s="280"/>
      <c r="J512" s="281"/>
      <c r="K512" s="283"/>
      <c r="L512" s="273"/>
      <c r="M512" s="274"/>
      <c r="N512" s="139"/>
      <c r="O512" s="281"/>
    </row>
    <row r="513" spans="1:15" ht="17.850000000000001" customHeight="1" x14ac:dyDescent="0.25">
      <c r="A513" s="96"/>
      <c r="B513" s="238"/>
      <c r="C513" s="93"/>
      <c r="D513" s="92"/>
      <c r="E513" s="270"/>
      <c r="F513" s="273"/>
      <c r="G513" s="274"/>
      <c r="H513" s="279"/>
      <c r="I513" s="280"/>
      <c r="J513" s="281"/>
      <c r="K513" s="283"/>
      <c r="L513" s="273"/>
      <c r="M513" s="274"/>
      <c r="N513" s="139"/>
      <c r="O513" s="281"/>
    </row>
    <row r="514" spans="1:15" ht="17.850000000000001" customHeight="1" x14ac:dyDescent="0.25">
      <c r="A514" s="96"/>
      <c r="B514" s="238"/>
      <c r="C514" s="93"/>
      <c r="D514" s="92"/>
      <c r="E514" s="270"/>
      <c r="F514" s="273"/>
      <c r="G514" s="274"/>
      <c r="H514" s="279"/>
      <c r="I514" s="280"/>
      <c r="J514" s="281"/>
      <c r="K514" s="283"/>
      <c r="L514" s="273"/>
      <c r="M514" s="274"/>
      <c r="N514" s="139"/>
      <c r="O514" s="281"/>
    </row>
    <row r="515" spans="1:15" ht="17.850000000000001" customHeight="1" x14ac:dyDescent="0.25">
      <c r="A515" s="96"/>
      <c r="B515" s="238"/>
      <c r="C515" s="93"/>
      <c r="D515" s="92"/>
      <c r="E515" s="270"/>
      <c r="F515" s="273"/>
      <c r="G515" s="274"/>
      <c r="H515" s="279"/>
      <c r="I515" s="280"/>
      <c r="J515" s="281"/>
      <c r="K515" s="283"/>
      <c r="L515" s="273"/>
      <c r="M515" s="274"/>
      <c r="N515" s="139"/>
      <c r="O515" s="281"/>
    </row>
    <row r="516" spans="1:15" ht="17.850000000000001" customHeight="1" x14ac:dyDescent="0.25">
      <c r="A516" s="96"/>
      <c r="B516" s="238"/>
      <c r="C516" s="93"/>
      <c r="D516" s="92"/>
      <c r="E516" s="270"/>
      <c r="F516" s="273"/>
      <c r="G516" s="274"/>
      <c r="H516" s="279"/>
      <c r="I516" s="280"/>
      <c r="J516" s="281"/>
      <c r="K516" s="283"/>
      <c r="L516" s="273"/>
      <c r="M516" s="274"/>
      <c r="N516" s="139"/>
      <c r="O516" s="281"/>
    </row>
    <row r="517" spans="1:15" ht="17.850000000000001" customHeight="1" x14ac:dyDescent="0.25">
      <c r="A517" s="96"/>
      <c r="B517" s="238"/>
      <c r="C517" s="93"/>
      <c r="D517" s="92"/>
      <c r="E517" s="270"/>
      <c r="F517" s="273"/>
      <c r="G517" s="274"/>
      <c r="H517" s="279"/>
      <c r="I517" s="280"/>
      <c r="J517" s="281"/>
      <c r="K517" s="283"/>
      <c r="L517" s="273"/>
      <c r="M517" s="274"/>
      <c r="N517" s="139"/>
      <c r="O517" s="281"/>
    </row>
    <row r="518" spans="1:15" ht="17.850000000000001" customHeight="1" x14ac:dyDescent="0.25">
      <c r="A518" s="96"/>
      <c r="B518" s="238"/>
      <c r="C518" s="93"/>
      <c r="D518" s="92"/>
      <c r="E518" s="270"/>
      <c r="F518" s="273"/>
      <c r="G518" s="274"/>
      <c r="H518" s="279"/>
      <c r="I518" s="280"/>
      <c r="J518" s="281"/>
      <c r="K518" s="283"/>
      <c r="L518" s="273"/>
      <c r="M518" s="274"/>
      <c r="N518" s="139"/>
      <c r="O518" s="281"/>
    </row>
    <row r="519" spans="1:15" ht="17.850000000000001" customHeight="1" x14ac:dyDescent="0.25">
      <c r="A519" s="96"/>
      <c r="B519" s="238"/>
      <c r="C519" s="93"/>
      <c r="D519" s="92"/>
      <c r="E519" s="270"/>
      <c r="F519" s="273"/>
      <c r="G519" s="274"/>
      <c r="H519" s="279"/>
      <c r="I519" s="280"/>
      <c r="J519" s="281"/>
      <c r="K519" s="283"/>
      <c r="L519" s="273"/>
      <c r="M519" s="274"/>
      <c r="N519" s="139"/>
      <c r="O519" s="281"/>
    </row>
    <row r="520" spans="1:15" ht="17.850000000000001" customHeight="1" x14ac:dyDescent="0.25">
      <c r="A520" s="96"/>
      <c r="B520" s="238"/>
      <c r="C520" s="93"/>
      <c r="D520" s="92"/>
      <c r="E520" s="270"/>
      <c r="F520" s="273"/>
      <c r="G520" s="274"/>
      <c r="H520" s="279"/>
      <c r="I520" s="280"/>
      <c r="J520" s="281"/>
      <c r="K520" s="283"/>
      <c r="L520" s="273"/>
      <c r="M520" s="274"/>
      <c r="N520" s="139"/>
      <c r="O520" s="281"/>
    </row>
    <row r="521" spans="1:15" ht="17.850000000000001" customHeight="1" x14ac:dyDescent="0.25">
      <c r="A521" s="96"/>
      <c r="B521" s="238"/>
      <c r="C521" s="93"/>
      <c r="D521" s="92"/>
      <c r="E521" s="270"/>
      <c r="F521" s="273"/>
      <c r="G521" s="274"/>
      <c r="H521" s="279"/>
      <c r="I521" s="280"/>
      <c r="J521" s="281"/>
      <c r="K521" s="283"/>
      <c r="L521" s="273"/>
      <c r="M521" s="274"/>
      <c r="N521" s="139"/>
      <c r="O521" s="281"/>
    </row>
    <row r="522" spans="1:15" ht="17.850000000000001" customHeight="1" x14ac:dyDescent="0.25">
      <c r="A522" s="96"/>
      <c r="B522" s="238"/>
      <c r="C522" s="93"/>
      <c r="D522" s="92"/>
      <c r="E522" s="270"/>
      <c r="F522" s="273"/>
      <c r="G522" s="274"/>
      <c r="H522" s="279"/>
      <c r="I522" s="280"/>
      <c r="J522" s="281"/>
      <c r="K522" s="283"/>
      <c r="L522" s="273"/>
      <c r="M522" s="274"/>
      <c r="N522" s="139"/>
      <c r="O522" s="281"/>
    </row>
    <row r="523" spans="1:15" ht="17.850000000000001" customHeight="1" x14ac:dyDescent="0.25">
      <c r="A523" s="96"/>
      <c r="B523" s="238"/>
      <c r="C523" s="93"/>
      <c r="D523" s="92"/>
      <c r="E523" s="270"/>
      <c r="F523" s="273"/>
      <c r="G523" s="274"/>
      <c r="H523" s="279"/>
      <c r="I523" s="280"/>
      <c r="J523" s="281"/>
      <c r="K523" s="283"/>
      <c r="L523" s="273"/>
      <c r="M523" s="274"/>
      <c r="N523" s="139"/>
      <c r="O523" s="281"/>
    </row>
    <row r="524" spans="1:15" ht="17.850000000000001" customHeight="1" x14ac:dyDescent="0.25">
      <c r="A524" s="96"/>
      <c r="B524" s="238"/>
      <c r="C524" s="93"/>
      <c r="D524" s="92"/>
      <c r="E524" s="270"/>
      <c r="F524" s="273"/>
      <c r="G524" s="274"/>
      <c r="H524" s="279"/>
      <c r="I524" s="280"/>
      <c r="J524" s="281"/>
      <c r="K524" s="283"/>
      <c r="L524" s="273"/>
      <c r="M524" s="274"/>
      <c r="N524" s="139"/>
      <c r="O524" s="281"/>
    </row>
    <row r="525" spans="1:15" ht="17.850000000000001" customHeight="1" x14ac:dyDescent="0.25">
      <c r="A525" s="96"/>
      <c r="B525" s="238"/>
      <c r="C525" s="93"/>
      <c r="D525" s="92"/>
      <c r="E525" s="270"/>
      <c r="F525" s="273"/>
      <c r="G525" s="274"/>
      <c r="H525" s="279"/>
      <c r="I525" s="280"/>
      <c r="J525" s="281"/>
      <c r="K525" s="283"/>
      <c r="L525" s="273"/>
      <c r="M525" s="274"/>
      <c r="N525" s="139"/>
      <c r="O525" s="281"/>
    </row>
    <row r="526" spans="1:15" ht="17.850000000000001" customHeight="1" x14ac:dyDescent="0.25">
      <c r="A526" s="96"/>
      <c r="B526" s="238"/>
      <c r="C526" s="93"/>
      <c r="D526" s="92"/>
      <c r="E526" s="270"/>
      <c r="F526" s="273"/>
      <c r="G526" s="274"/>
      <c r="H526" s="279"/>
      <c r="I526" s="280"/>
      <c r="J526" s="281"/>
      <c r="K526" s="283"/>
      <c r="L526" s="273"/>
      <c r="M526" s="274"/>
      <c r="N526" s="139"/>
      <c r="O526" s="281"/>
    </row>
    <row r="527" spans="1:15" ht="17.850000000000001" customHeight="1" x14ac:dyDescent="0.25">
      <c r="A527" s="96"/>
      <c r="B527" s="238"/>
      <c r="C527" s="93"/>
      <c r="D527" s="92"/>
      <c r="E527" s="270"/>
      <c r="F527" s="273"/>
      <c r="G527" s="274"/>
      <c r="H527" s="279"/>
      <c r="I527" s="280"/>
      <c r="J527" s="281"/>
      <c r="K527" s="283"/>
      <c r="L527" s="273"/>
      <c r="M527" s="274"/>
      <c r="N527" s="139"/>
      <c r="O527" s="281"/>
    </row>
    <row r="528" spans="1:15" ht="17.850000000000001" customHeight="1" x14ac:dyDescent="0.25">
      <c r="A528" s="96"/>
      <c r="B528" s="238"/>
      <c r="C528" s="93"/>
      <c r="D528" s="92"/>
      <c r="E528" s="270"/>
      <c r="F528" s="273"/>
      <c r="G528" s="274"/>
      <c r="H528" s="279"/>
      <c r="I528" s="280"/>
      <c r="J528" s="281"/>
      <c r="K528" s="283"/>
      <c r="L528" s="273"/>
      <c r="M528" s="274"/>
      <c r="N528" s="139"/>
      <c r="O528" s="281"/>
    </row>
    <row r="529" spans="1:15" ht="17.850000000000001" customHeight="1" x14ac:dyDescent="0.25">
      <c r="A529" s="96"/>
      <c r="B529" s="238"/>
      <c r="C529" s="93"/>
      <c r="D529" s="92"/>
      <c r="E529" s="270"/>
      <c r="F529" s="273"/>
      <c r="G529" s="274"/>
      <c r="H529" s="279"/>
      <c r="I529" s="280"/>
      <c r="J529" s="281"/>
      <c r="K529" s="283"/>
      <c r="L529" s="273"/>
      <c r="M529" s="274"/>
      <c r="N529" s="139"/>
      <c r="O529" s="281"/>
    </row>
    <row r="530" spans="1:15" ht="17.850000000000001" customHeight="1" x14ac:dyDescent="0.25">
      <c r="A530" s="96"/>
      <c r="B530" s="238"/>
      <c r="C530" s="93"/>
      <c r="D530" s="92"/>
      <c r="E530" s="270"/>
      <c r="F530" s="273"/>
      <c r="G530" s="274"/>
      <c r="H530" s="279"/>
      <c r="I530" s="280"/>
      <c r="J530" s="281"/>
      <c r="K530" s="283"/>
      <c r="L530" s="273"/>
      <c r="M530" s="274"/>
      <c r="N530" s="139"/>
      <c r="O530" s="281"/>
    </row>
    <row r="531" spans="1:15" ht="17.850000000000001" customHeight="1" x14ac:dyDescent="0.25">
      <c r="A531" s="96"/>
      <c r="B531" s="238"/>
      <c r="C531" s="93"/>
      <c r="D531" s="92"/>
      <c r="E531" s="270"/>
      <c r="F531" s="273"/>
      <c r="G531" s="274"/>
      <c r="H531" s="279"/>
      <c r="I531" s="280"/>
      <c r="J531" s="281"/>
      <c r="K531" s="283"/>
      <c r="L531" s="273"/>
      <c r="M531" s="274"/>
      <c r="N531" s="139"/>
      <c r="O531" s="281"/>
    </row>
    <row r="532" spans="1:15" ht="17.850000000000001" customHeight="1" x14ac:dyDescent="0.25">
      <c r="A532" s="96"/>
      <c r="B532" s="238"/>
      <c r="C532" s="93"/>
      <c r="D532" s="92"/>
      <c r="E532" s="270"/>
      <c r="F532" s="273"/>
      <c r="G532" s="274"/>
      <c r="H532" s="279"/>
      <c r="I532" s="280"/>
      <c r="J532" s="281"/>
      <c r="K532" s="283"/>
      <c r="L532" s="273"/>
      <c r="M532" s="274"/>
      <c r="N532" s="139"/>
      <c r="O532" s="281"/>
    </row>
    <row r="533" spans="1:15" ht="17.850000000000001" customHeight="1" x14ac:dyDescent="0.25">
      <c r="A533" s="96"/>
      <c r="B533" s="238"/>
      <c r="C533" s="93"/>
      <c r="D533" s="92"/>
      <c r="E533" s="270"/>
      <c r="F533" s="273"/>
      <c r="G533" s="274"/>
      <c r="H533" s="279"/>
      <c r="I533" s="280"/>
      <c r="J533" s="281"/>
      <c r="K533" s="283"/>
      <c r="L533" s="273"/>
      <c r="M533" s="274"/>
      <c r="N533" s="139"/>
      <c r="O533" s="281"/>
    </row>
    <row r="534" spans="1:15" ht="17.850000000000001" customHeight="1" x14ac:dyDescent="0.25">
      <c r="A534" s="96"/>
      <c r="B534" s="238"/>
      <c r="C534" s="93"/>
      <c r="D534" s="92"/>
      <c r="E534" s="270"/>
      <c r="F534" s="273"/>
      <c r="G534" s="274"/>
      <c r="H534" s="279"/>
      <c r="I534" s="280"/>
      <c r="J534" s="281"/>
      <c r="K534" s="283"/>
      <c r="L534" s="273"/>
      <c r="M534" s="274"/>
      <c r="N534" s="139"/>
      <c r="O534" s="281"/>
    </row>
    <row r="535" spans="1:15" ht="17.850000000000001" customHeight="1" x14ac:dyDescent="0.25">
      <c r="A535" s="96"/>
      <c r="B535" s="238"/>
      <c r="C535" s="93"/>
      <c r="D535" s="92"/>
      <c r="E535" s="270"/>
      <c r="F535" s="273"/>
      <c r="G535" s="274"/>
      <c r="H535" s="279"/>
      <c r="I535" s="280"/>
      <c r="J535" s="281"/>
      <c r="K535" s="283"/>
      <c r="L535" s="273"/>
      <c r="M535" s="274"/>
      <c r="N535" s="139"/>
      <c r="O535" s="281"/>
    </row>
    <row r="536" spans="1:15" ht="17.850000000000001" customHeight="1" x14ac:dyDescent="0.25">
      <c r="A536" s="96"/>
      <c r="B536" s="238"/>
      <c r="C536" s="93"/>
      <c r="D536" s="92"/>
      <c r="E536" s="270"/>
      <c r="F536" s="273"/>
      <c r="G536" s="274"/>
      <c r="H536" s="279"/>
      <c r="I536" s="280"/>
      <c r="J536" s="281"/>
      <c r="K536" s="283"/>
      <c r="L536" s="273"/>
      <c r="M536" s="274"/>
      <c r="N536" s="139"/>
      <c r="O536" s="281"/>
    </row>
    <row r="537" spans="1:15" ht="17.850000000000001" customHeight="1" x14ac:dyDescent="0.25">
      <c r="A537" s="96"/>
      <c r="B537" s="238"/>
      <c r="C537" s="93"/>
      <c r="D537" s="92"/>
      <c r="E537" s="270"/>
      <c r="F537" s="273"/>
      <c r="G537" s="274"/>
      <c r="H537" s="279"/>
      <c r="I537" s="280"/>
      <c r="J537" s="281"/>
      <c r="K537" s="283"/>
      <c r="L537" s="273"/>
      <c r="M537" s="274"/>
      <c r="N537" s="139"/>
      <c r="O537" s="281"/>
    </row>
    <row r="538" spans="1:15" ht="17.850000000000001" customHeight="1" x14ac:dyDescent="0.25">
      <c r="A538" s="96"/>
      <c r="B538" s="238"/>
      <c r="C538" s="93"/>
      <c r="D538" s="92"/>
      <c r="E538" s="270"/>
      <c r="F538" s="273"/>
      <c r="G538" s="274"/>
      <c r="H538" s="279"/>
      <c r="I538" s="280"/>
      <c r="J538" s="281"/>
      <c r="K538" s="283"/>
      <c r="L538" s="273"/>
      <c r="M538" s="274"/>
      <c r="N538" s="139"/>
      <c r="O538" s="281"/>
    </row>
    <row r="539" spans="1:15" ht="17.850000000000001" customHeight="1" x14ac:dyDescent="0.25">
      <c r="A539" s="96"/>
      <c r="B539" s="238"/>
      <c r="C539" s="93"/>
      <c r="D539" s="92"/>
      <c r="E539" s="270"/>
      <c r="F539" s="273"/>
      <c r="G539" s="274"/>
      <c r="H539" s="279"/>
      <c r="I539" s="280"/>
      <c r="J539" s="281"/>
      <c r="K539" s="283"/>
      <c r="L539" s="273"/>
      <c r="M539" s="274"/>
      <c r="N539" s="139"/>
      <c r="O539" s="281"/>
    </row>
    <row r="540" spans="1:15" ht="17.850000000000001" customHeight="1" x14ac:dyDescent="0.25">
      <c r="A540" s="96"/>
      <c r="B540" s="238"/>
      <c r="C540" s="93"/>
      <c r="D540" s="92"/>
      <c r="E540" s="270"/>
      <c r="F540" s="273"/>
      <c r="G540" s="274"/>
      <c r="H540" s="279"/>
      <c r="I540" s="280"/>
      <c r="J540" s="281"/>
      <c r="K540" s="283"/>
      <c r="L540" s="273"/>
      <c r="M540" s="274"/>
      <c r="N540" s="139"/>
      <c r="O540" s="281"/>
    </row>
    <row r="541" spans="1:15" ht="17.850000000000001" customHeight="1" x14ac:dyDescent="0.25">
      <c r="A541" s="96"/>
      <c r="B541" s="238"/>
      <c r="C541" s="93"/>
      <c r="D541" s="92"/>
      <c r="E541" s="270"/>
      <c r="F541" s="273"/>
      <c r="G541" s="274"/>
      <c r="H541" s="279"/>
      <c r="I541" s="280"/>
      <c r="J541" s="281"/>
      <c r="K541" s="283"/>
      <c r="L541" s="273"/>
      <c r="M541" s="274"/>
      <c r="N541" s="139"/>
      <c r="O541" s="281"/>
    </row>
    <row r="542" spans="1:15" ht="17.850000000000001" customHeight="1" x14ac:dyDescent="0.25">
      <c r="A542" s="96"/>
      <c r="B542" s="238"/>
      <c r="C542" s="93"/>
      <c r="D542" s="92"/>
      <c r="E542" s="270"/>
      <c r="F542" s="273"/>
      <c r="G542" s="274"/>
      <c r="H542" s="279"/>
      <c r="I542" s="280"/>
      <c r="J542" s="281"/>
      <c r="K542" s="283"/>
      <c r="L542" s="273"/>
      <c r="M542" s="274"/>
      <c r="N542" s="139"/>
      <c r="O542" s="281"/>
    </row>
    <row r="543" spans="1:15" ht="17.850000000000001" customHeight="1" x14ac:dyDescent="0.25">
      <c r="A543" s="96"/>
      <c r="B543" s="238"/>
      <c r="C543" s="93"/>
      <c r="D543" s="92"/>
      <c r="E543" s="270"/>
      <c r="F543" s="273"/>
      <c r="G543" s="274"/>
      <c r="H543" s="279"/>
      <c r="I543" s="280"/>
      <c r="J543" s="281"/>
      <c r="K543" s="283"/>
      <c r="L543" s="273"/>
      <c r="M543" s="274"/>
      <c r="N543" s="139"/>
      <c r="O543" s="281"/>
    </row>
    <row r="544" spans="1:15" ht="17.850000000000001" customHeight="1" x14ac:dyDescent="0.25">
      <c r="A544" s="96"/>
      <c r="B544" s="238"/>
      <c r="C544" s="93"/>
      <c r="D544" s="92"/>
      <c r="E544" s="270"/>
      <c r="F544" s="273"/>
      <c r="G544" s="274"/>
      <c r="H544" s="279"/>
      <c r="I544" s="280"/>
      <c r="J544" s="281"/>
      <c r="K544" s="283"/>
      <c r="L544" s="273"/>
      <c r="M544" s="274"/>
      <c r="N544" s="139"/>
      <c r="O544" s="281"/>
    </row>
    <row r="545" spans="1:15" ht="17.850000000000001" customHeight="1" x14ac:dyDescent="0.25">
      <c r="A545" s="96"/>
      <c r="B545" s="238"/>
      <c r="C545" s="93"/>
      <c r="D545" s="92"/>
      <c r="E545" s="270"/>
      <c r="F545" s="273"/>
      <c r="G545" s="274"/>
      <c r="H545" s="279"/>
      <c r="I545" s="280"/>
      <c r="J545" s="281"/>
      <c r="K545" s="283"/>
      <c r="L545" s="273"/>
      <c r="M545" s="274"/>
      <c r="N545" s="139"/>
      <c r="O545" s="281"/>
    </row>
    <row r="546" spans="1:15" ht="17.850000000000001" customHeight="1" x14ac:dyDescent="0.25">
      <c r="A546" s="96"/>
      <c r="B546" s="238"/>
      <c r="C546" s="93"/>
      <c r="D546" s="92"/>
      <c r="E546" s="270"/>
      <c r="F546" s="273"/>
      <c r="G546" s="274"/>
      <c r="H546" s="279"/>
      <c r="I546" s="280"/>
      <c r="J546" s="281"/>
      <c r="K546" s="283"/>
      <c r="L546" s="273"/>
      <c r="M546" s="274"/>
      <c r="N546" s="139"/>
      <c r="O546" s="281"/>
    </row>
    <row r="547" spans="1:15" ht="17.850000000000001" customHeight="1" x14ac:dyDescent="0.25">
      <c r="A547" s="96"/>
      <c r="B547" s="238"/>
      <c r="C547" s="93"/>
      <c r="D547" s="92"/>
      <c r="E547" s="270"/>
      <c r="F547" s="273"/>
      <c r="G547" s="274"/>
      <c r="H547" s="279"/>
      <c r="I547" s="280"/>
      <c r="J547" s="281"/>
      <c r="K547" s="283"/>
      <c r="L547" s="273"/>
      <c r="M547" s="274"/>
      <c r="N547" s="139"/>
      <c r="O547" s="281"/>
    </row>
    <row r="548" spans="1:15" ht="17.850000000000001" customHeight="1" x14ac:dyDescent="0.25">
      <c r="A548" s="96"/>
      <c r="B548" s="238"/>
      <c r="C548" s="93"/>
      <c r="D548" s="92"/>
      <c r="E548" s="270"/>
      <c r="F548" s="273"/>
      <c r="G548" s="274"/>
      <c r="H548" s="279"/>
      <c r="I548" s="280"/>
      <c r="J548" s="281"/>
      <c r="K548" s="283"/>
      <c r="L548" s="273"/>
      <c r="M548" s="274"/>
      <c r="N548" s="139"/>
      <c r="O548" s="281"/>
    </row>
    <row r="549" spans="1:15" ht="17.850000000000001" customHeight="1" x14ac:dyDescent="0.25">
      <c r="A549" s="96"/>
      <c r="B549" s="238"/>
      <c r="C549" s="93"/>
      <c r="D549" s="92"/>
      <c r="E549" s="270"/>
      <c r="F549" s="273"/>
      <c r="G549" s="274"/>
      <c r="H549" s="279"/>
      <c r="I549" s="280"/>
      <c r="J549" s="281"/>
      <c r="K549" s="283"/>
      <c r="L549" s="273"/>
      <c r="M549" s="274"/>
      <c r="N549" s="139"/>
      <c r="O549" s="281"/>
    </row>
    <row r="550" spans="1:15" ht="17.850000000000001" customHeight="1" x14ac:dyDescent="0.25">
      <c r="A550" s="96"/>
      <c r="B550" s="238"/>
      <c r="C550" s="93"/>
      <c r="D550" s="92"/>
      <c r="E550" s="270"/>
      <c r="F550" s="273"/>
      <c r="G550" s="274"/>
      <c r="H550" s="279"/>
      <c r="I550" s="280"/>
      <c r="J550" s="281"/>
      <c r="K550" s="283"/>
      <c r="L550" s="273"/>
      <c r="M550" s="274"/>
      <c r="N550" s="139"/>
      <c r="O550" s="281"/>
    </row>
    <row r="551" spans="1:15" ht="17.850000000000001" customHeight="1" x14ac:dyDescent="0.25">
      <c r="A551" s="96"/>
      <c r="B551" s="238"/>
      <c r="C551" s="93"/>
      <c r="D551" s="92"/>
      <c r="E551" s="270"/>
      <c r="F551" s="273"/>
      <c r="G551" s="274"/>
      <c r="H551" s="279"/>
      <c r="I551" s="280"/>
      <c r="J551" s="281"/>
      <c r="K551" s="283"/>
      <c r="L551" s="273"/>
      <c r="M551" s="274"/>
      <c r="N551" s="139"/>
      <c r="O551" s="281"/>
    </row>
    <row r="552" spans="1:15" ht="17.850000000000001" customHeight="1" x14ac:dyDescent="0.25">
      <c r="A552" s="96"/>
      <c r="B552" s="238"/>
      <c r="C552" s="93"/>
      <c r="D552" s="92"/>
      <c r="E552" s="270"/>
      <c r="F552" s="273"/>
      <c r="G552" s="274"/>
      <c r="H552" s="279"/>
      <c r="I552" s="280"/>
      <c r="J552" s="281"/>
      <c r="K552" s="283"/>
      <c r="L552" s="273"/>
      <c r="M552" s="274"/>
      <c r="N552" s="139"/>
      <c r="O552" s="281"/>
    </row>
    <row r="553" spans="1:15" ht="17.850000000000001" customHeight="1" x14ac:dyDescent="0.25">
      <c r="A553" s="96"/>
      <c r="B553" s="238"/>
      <c r="C553" s="93"/>
      <c r="D553" s="92"/>
      <c r="E553" s="270"/>
      <c r="F553" s="273"/>
      <c r="G553" s="274"/>
      <c r="H553" s="279"/>
      <c r="I553" s="280"/>
      <c r="J553" s="281"/>
      <c r="K553" s="283"/>
      <c r="L553" s="273"/>
      <c r="M553" s="274"/>
      <c r="N553" s="139"/>
      <c r="O553" s="281"/>
    </row>
    <row r="554" spans="1:15" ht="17.850000000000001" customHeight="1" x14ac:dyDescent="0.25">
      <c r="A554" s="96"/>
      <c r="B554" s="238"/>
      <c r="C554" s="93"/>
      <c r="D554" s="92"/>
      <c r="E554" s="270"/>
      <c r="F554" s="273"/>
      <c r="G554" s="274"/>
      <c r="H554" s="279"/>
      <c r="I554" s="280"/>
      <c r="J554" s="281"/>
      <c r="K554" s="283"/>
      <c r="L554" s="273"/>
      <c r="M554" s="274"/>
      <c r="N554" s="139"/>
      <c r="O554" s="281"/>
    </row>
    <row r="555" spans="1:15" ht="17.850000000000001" customHeight="1" x14ac:dyDescent="0.25">
      <c r="A555" s="96"/>
      <c r="B555" s="238"/>
      <c r="C555" s="93"/>
      <c r="D555" s="92"/>
      <c r="E555" s="270"/>
      <c r="F555" s="273"/>
      <c r="G555" s="274"/>
      <c r="H555" s="279"/>
      <c r="I555" s="280"/>
      <c r="J555" s="281"/>
      <c r="K555" s="283"/>
      <c r="L555" s="273"/>
      <c r="M555" s="274"/>
      <c r="N555" s="139"/>
      <c r="O555" s="281"/>
    </row>
    <row r="556" spans="1:15" ht="17.850000000000001" customHeight="1" x14ac:dyDescent="0.25">
      <c r="A556" s="96"/>
      <c r="B556" s="238"/>
      <c r="C556" s="93"/>
      <c r="D556" s="92"/>
      <c r="E556" s="270"/>
      <c r="F556" s="273"/>
      <c r="G556" s="274"/>
      <c r="H556" s="279"/>
      <c r="I556" s="280"/>
      <c r="J556" s="281"/>
      <c r="K556" s="283"/>
      <c r="L556" s="273"/>
      <c r="M556" s="274"/>
      <c r="N556" s="139"/>
      <c r="O556" s="281"/>
    </row>
    <row r="557" spans="1:15" ht="17.850000000000001" customHeight="1" x14ac:dyDescent="0.25">
      <c r="A557" s="96"/>
      <c r="B557" s="238"/>
      <c r="C557" s="93"/>
      <c r="D557" s="92"/>
      <c r="E557" s="270"/>
      <c r="F557" s="273"/>
      <c r="G557" s="274"/>
      <c r="H557" s="279"/>
      <c r="I557" s="280"/>
      <c r="J557" s="281"/>
      <c r="K557" s="283"/>
      <c r="L557" s="273"/>
      <c r="M557" s="274"/>
      <c r="N557" s="139"/>
      <c r="O557" s="281"/>
    </row>
    <row r="558" spans="1:15" ht="17.850000000000001" customHeight="1" x14ac:dyDescent="0.25">
      <c r="A558" s="96"/>
      <c r="B558" s="238"/>
      <c r="C558" s="93"/>
      <c r="D558" s="92"/>
      <c r="E558" s="270"/>
      <c r="F558" s="273"/>
      <c r="G558" s="274"/>
      <c r="H558" s="279"/>
      <c r="I558" s="280"/>
      <c r="J558" s="281"/>
      <c r="K558" s="283"/>
      <c r="L558" s="273"/>
      <c r="M558" s="274"/>
      <c r="N558" s="139"/>
      <c r="O558" s="281"/>
    </row>
    <row r="559" spans="1:15" ht="17.850000000000001" customHeight="1" x14ac:dyDescent="0.25">
      <c r="A559" s="96"/>
      <c r="B559" s="238"/>
      <c r="C559" s="93"/>
      <c r="D559" s="92"/>
      <c r="E559" s="270"/>
      <c r="F559" s="273"/>
      <c r="G559" s="274"/>
      <c r="H559" s="279"/>
      <c r="I559" s="280"/>
      <c r="J559" s="281"/>
      <c r="K559" s="283"/>
      <c r="L559" s="273"/>
      <c r="M559" s="274"/>
      <c r="N559" s="139"/>
      <c r="O559" s="281"/>
    </row>
    <row r="560" spans="1:15" ht="17.850000000000001" customHeight="1" x14ac:dyDescent="0.25">
      <c r="A560" s="96"/>
      <c r="B560" s="238"/>
      <c r="C560" s="93"/>
      <c r="D560" s="92"/>
      <c r="E560" s="270"/>
      <c r="F560" s="273"/>
      <c r="G560" s="274"/>
      <c r="H560" s="279"/>
      <c r="I560" s="280"/>
      <c r="J560" s="281"/>
      <c r="K560" s="283"/>
      <c r="L560" s="273"/>
      <c r="M560" s="274"/>
      <c r="N560" s="139"/>
      <c r="O560" s="281"/>
    </row>
    <row r="561" spans="1:15" ht="17.850000000000001" customHeight="1" x14ac:dyDescent="0.25">
      <c r="A561" s="96"/>
      <c r="B561" s="238"/>
      <c r="C561" s="93"/>
      <c r="D561" s="92"/>
      <c r="E561" s="270"/>
      <c r="F561" s="273"/>
      <c r="G561" s="274"/>
      <c r="H561" s="279"/>
      <c r="I561" s="280"/>
      <c r="J561" s="281"/>
      <c r="K561" s="283"/>
      <c r="L561" s="273"/>
      <c r="M561" s="274"/>
      <c r="N561" s="139"/>
      <c r="O561" s="281"/>
    </row>
    <row r="562" spans="1:15" ht="17.850000000000001" customHeight="1" x14ac:dyDescent="0.25">
      <c r="A562" s="96"/>
      <c r="B562" s="238"/>
      <c r="C562" s="93"/>
      <c r="D562" s="92"/>
      <c r="E562" s="270"/>
      <c r="F562" s="273"/>
      <c r="G562" s="274"/>
      <c r="H562" s="279"/>
      <c r="I562" s="280"/>
      <c r="J562" s="281"/>
      <c r="K562" s="283"/>
      <c r="L562" s="273"/>
      <c r="M562" s="274"/>
      <c r="N562" s="139"/>
      <c r="O562" s="281"/>
    </row>
    <row r="563" spans="1:15" ht="17.850000000000001" customHeight="1" x14ac:dyDescent="0.25">
      <c r="A563" s="96"/>
      <c r="B563" s="238"/>
      <c r="C563" s="93"/>
      <c r="D563" s="92"/>
      <c r="E563" s="270"/>
      <c r="F563" s="273"/>
      <c r="G563" s="274"/>
      <c r="H563" s="279"/>
      <c r="I563" s="280"/>
      <c r="J563" s="281"/>
      <c r="K563" s="283"/>
      <c r="L563" s="273"/>
      <c r="M563" s="274"/>
      <c r="N563" s="139"/>
      <c r="O563" s="281"/>
    </row>
    <row r="564" spans="1:15" ht="17.850000000000001" customHeight="1" x14ac:dyDescent="0.25">
      <c r="A564" s="96"/>
      <c r="B564" s="238"/>
      <c r="C564" s="93"/>
      <c r="D564" s="92"/>
      <c r="E564" s="270"/>
      <c r="F564" s="273"/>
      <c r="G564" s="274"/>
      <c r="H564" s="279"/>
      <c r="I564" s="280"/>
      <c r="J564" s="281"/>
      <c r="K564" s="283"/>
      <c r="L564" s="273"/>
      <c r="M564" s="274"/>
      <c r="N564" s="139"/>
      <c r="O564" s="281"/>
    </row>
    <row r="565" spans="1:15" ht="17.850000000000001" customHeight="1" x14ac:dyDescent="0.25">
      <c r="A565" s="96"/>
      <c r="B565" s="238"/>
      <c r="C565" s="93"/>
      <c r="D565" s="92"/>
      <c r="E565" s="270"/>
      <c r="F565" s="273"/>
      <c r="G565" s="274"/>
      <c r="H565" s="279"/>
      <c r="I565" s="280"/>
      <c r="J565" s="281"/>
      <c r="K565" s="283"/>
      <c r="L565" s="273"/>
      <c r="M565" s="274"/>
      <c r="N565" s="139"/>
      <c r="O565" s="281"/>
    </row>
    <row r="566" spans="1:15" ht="17.850000000000001" customHeight="1" x14ac:dyDescent="0.25">
      <c r="A566" s="96"/>
      <c r="B566" s="238"/>
      <c r="C566" s="93"/>
      <c r="D566" s="92"/>
      <c r="E566" s="270"/>
      <c r="F566" s="273"/>
      <c r="G566" s="274"/>
      <c r="H566" s="279"/>
      <c r="I566" s="280"/>
      <c r="J566" s="281"/>
      <c r="K566" s="283"/>
      <c r="L566" s="273"/>
      <c r="M566" s="274"/>
      <c r="N566" s="139"/>
      <c r="O566" s="281"/>
    </row>
    <row r="567" spans="1:15" ht="17.850000000000001" customHeight="1" x14ac:dyDescent="0.25">
      <c r="A567" s="96"/>
      <c r="B567" s="238"/>
      <c r="C567" s="93"/>
      <c r="D567" s="92"/>
      <c r="E567" s="270"/>
      <c r="F567" s="273"/>
      <c r="G567" s="274"/>
      <c r="H567" s="279"/>
      <c r="I567" s="280"/>
      <c r="J567" s="281"/>
      <c r="K567" s="283"/>
      <c r="L567" s="273"/>
      <c r="M567" s="274"/>
      <c r="N567" s="139"/>
      <c r="O567" s="281"/>
    </row>
    <row r="568" spans="1:15" ht="17.850000000000001" customHeight="1" x14ac:dyDescent="0.25">
      <c r="A568" s="96"/>
      <c r="B568" s="238"/>
      <c r="C568" s="93"/>
      <c r="D568" s="92"/>
      <c r="E568" s="270"/>
      <c r="F568" s="273"/>
      <c r="G568" s="274"/>
      <c r="H568" s="279"/>
      <c r="I568" s="280"/>
      <c r="J568" s="281"/>
      <c r="K568" s="283"/>
      <c r="L568" s="273"/>
      <c r="M568" s="274"/>
      <c r="N568" s="139"/>
      <c r="O568" s="281"/>
    </row>
    <row r="569" spans="1:15" ht="17.850000000000001" customHeight="1" x14ac:dyDescent="0.25">
      <c r="A569" s="96"/>
      <c r="B569" s="238"/>
      <c r="C569" s="93"/>
      <c r="D569" s="92"/>
      <c r="E569" s="270"/>
      <c r="F569" s="273"/>
      <c r="G569" s="274"/>
      <c r="H569" s="279"/>
      <c r="I569" s="280"/>
      <c r="J569" s="281"/>
      <c r="K569" s="283"/>
      <c r="L569" s="273"/>
      <c r="M569" s="274"/>
      <c r="N569" s="139"/>
      <c r="O569" s="281"/>
    </row>
    <row r="570" spans="1:15" ht="17.850000000000001" customHeight="1" x14ac:dyDescent="0.25">
      <c r="A570" s="96"/>
      <c r="B570" s="238"/>
      <c r="C570" s="93"/>
      <c r="D570" s="92"/>
      <c r="E570" s="270"/>
      <c r="F570" s="273"/>
      <c r="G570" s="274"/>
      <c r="H570" s="279"/>
      <c r="I570" s="280"/>
      <c r="J570" s="281"/>
      <c r="K570" s="283"/>
      <c r="L570" s="273"/>
      <c r="M570" s="274"/>
      <c r="N570" s="139"/>
      <c r="O570" s="281"/>
    </row>
    <row r="571" spans="1:15" ht="17.850000000000001" customHeight="1" x14ac:dyDescent="0.25">
      <c r="A571" s="96"/>
      <c r="B571" s="238"/>
      <c r="C571" s="93"/>
      <c r="D571" s="92"/>
      <c r="E571" s="270"/>
      <c r="F571" s="273"/>
      <c r="G571" s="274"/>
      <c r="H571" s="279"/>
      <c r="I571" s="280"/>
      <c r="J571" s="281"/>
      <c r="K571" s="283"/>
      <c r="L571" s="273"/>
      <c r="M571" s="274"/>
      <c r="N571" s="139"/>
      <c r="O571" s="281"/>
    </row>
    <row r="572" spans="1:15" ht="17.850000000000001" customHeight="1" x14ac:dyDescent="0.25">
      <c r="A572" s="96"/>
      <c r="B572" s="238"/>
      <c r="C572" s="93"/>
      <c r="D572" s="92"/>
      <c r="E572" s="270"/>
      <c r="F572" s="273"/>
      <c r="G572" s="274"/>
      <c r="H572" s="279"/>
      <c r="I572" s="280"/>
      <c r="J572" s="281"/>
      <c r="K572" s="283"/>
      <c r="L572" s="273"/>
      <c r="M572" s="274"/>
      <c r="N572" s="139"/>
      <c r="O572" s="281"/>
    </row>
    <row r="573" spans="1:15" ht="17.850000000000001" customHeight="1" x14ac:dyDescent="0.25">
      <c r="A573" s="96"/>
      <c r="B573" s="238"/>
      <c r="C573" s="93"/>
      <c r="D573" s="92"/>
      <c r="E573" s="270"/>
      <c r="F573" s="273"/>
      <c r="G573" s="274"/>
      <c r="H573" s="279"/>
      <c r="I573" s="280"/>
      <c r="J573" s="281"/>
      <c r="K573" s="283"/>
      <c r="L573" s="273"/>
      <c r="M573" s="274"/>
      <c r="N573" s="139"/>
      <c r="O573" s="281"/>
    </row>
    <row r="574" spans="1:15" ht="17.850000000000001" customHeight="1" x14ac:dyDescent="0.25">
      <c r="A574" s="96"/>
      <c r="B574" s="238"/>
      <c r="C574" s="93"/>
      <c r="D574" s="92"/>
      <c r="E574" s="270"/>
      <c r="F574" s="273"/>
      <c r="G574" s="274"/>
      <c r="H574" s="279"/>
      <c r="I574" s="280"/>
      <c r="J574" s="281"/>
      <c r="K574" s="283"/>
      <c r="L574" s="273"/>
      <c r="M574" s="274"/>
      <c r="N574" s="139"/>
      <c r="O574" s="281"/>
    </row>
    <row r="575" spans="1:15" ht="17.850000000000001" customHeight="1" x14ac:dyDescent="0.25">
      <c r="A575" s="96"/>
      <c r="B575" s="238"/>
      <c r="C575" s="93"/>
      <c r="D575" s="92"/>
      <c r="E575" s="270"/>
      <c r="F575" s="273"/>
      <c r="G575" s="274"/>
      <c r="H575" s="279"/>
      <c r="I575" s="280"/>
      <c r="J575" s="281"/>
      <c r="K575" s="283"/>
      <c r="L575" s="273"/>
      <c r="M575" s="274"/>
      <c r="N575" s="139"/>
      <c r="O575" s="281"/>
    </row>
    <row r="576" spans="1:15" ht="17.850000000000001" customHeight="1" x14ac:dyDescent="0.25">
      <c r="A576" s="96"/>
      <c r="B576" s="238"/>
      <c r="C576" s="93"/>
      <c r="D576" s="92"/>
      <c r="E576" s="270"/>
      <c r="F576" s="273"/>
      <c r="G576" s="274"/>
      <c r="H576" s="279"/>
      <c r="I576" s="280"/>
      <c r="J576" s="281"/>
      <c r="K576" s="283"/>
      <c r="L576" s="273"/>
      <c r="M576" s="274"/>
      <c r="N576" s="139"/>
      <c r="O576" s="281"/>
    </row>
    <row r="577" spans="1:15" ht="17.850000000000001" customHeight="1" x14ac:dyDescent="0.25">
      <c r="A577" s="96"/>
      <c r="B577" s="238"/>
      <c r="C577" s="93"/>
      <c r="D577" s="92"/>
      <c r="E577" s="270"/>
      <c r="F577" s="273"/>
      <c r="G577" s="274"/>
      <c r="H577" s="279"/>
      <c r="I577" s="280"/>
      <c r="J577" s="281"/>
      <c r="K577" s="283"/>
      <c r="L577" s="273"/>
      <c r="M577" s="274"/>
      <c r="N577" s="139"/>
      <c r="O577" s="281"/>
    </row>
    <row r="578" spans="1:15" ht="17.850000000000001" customHeight="1" x14ac:dyDescent="0.25">
      <c r="A578" s="96"/>
      <c r="B578" s="238"/>
      <c r="C578" s="93"/>
      <c r="D578" s="92"/>
      <c r="E578" s="270"/>
      <c r="F578" s="273"/>
      <c r="G578" s="274"/>
      <c r="H578" s="279"/>
      <c r="I578" s="280"/>
      <c r="J578" s="281"/>
      <c r="K578" s="283"/>
      <c r="L578" s="273"/>
      <c r="M578" s="274"/>
      <c r="N578" s="139"/>
      <c r="O578" s="281"/>
    </row>
    <row r="579" spans="1:15" ht="17.850000000000001" customHeight="1" x14ac:dyDescent="0.25">
      <c r="A579" s="96"/>
      <c r="B579" s="238"/>
      <c r="C579" s="93"/>
      <c r="D579" s="92"/>
      <c r="E579" s="270"/>
      <c r="F579" s="273"/>
      <c r="G579" s="274"/>
      <c r="H579" s="279"/>
      <c r="I579" s="280"/>
      <c r="J579" s="281"/>
      <c r="K579" s="283"/>
      <c r="L579" s="273"/>
      <c r="M579" s="274"/>
      <c r="N579" s="139"/>
      <c r="O579" s="281"/>
    </row>
    <row r="580" spans="1:15" ht="17.850000000000001" customHeight="1" x14ac:dyDescent="0.25">
      <c r="A580" s="96"/>
      <c r="B580" s="238"/>
      <c r="C580" s="93"/>
      <c r="D580" s="92"/>
      <c r="E580" s="270"/>
      <c r="F580" s="273"/>
      <c r="G580" s="274"/>
      <c r="H580" s="279"/>
      <c r="I580" s="280"/>
      <c r="J580" s="281"/>
      <c r="K580" s="283"/>
      <c r="L580" s="273"/>
      <c r="M580" s="274"/>
      <c r="N580" s="139"/>
      <c r="O580" s="281"/>
    </row>
    <row r="581" spans="1:15" ht="17.850000000000001" customHeight="1" x14ac:dyDescent="0.25">
      <c r="A581" s="96"/>
      <c r="B581" s="238"/>
      <c r="C581" s="93"/>
      <c r="D581" s="92"/>
      <c r="E581" s="270"/>
      <c r="F581" s="273"/>
      <c r="G581" s="274"/>
      <c r="H581" s="279"/>
      <c r="I581" s="280"/>
      <c r="J581" s="281"/>
      <c r="K581" s="283"/>
      <c r="L581" s="273"/>
      <c r="M581" s="274"/>
      <c r="N581" s="139"/>
      <c r="O581" s="281"/>
    </row>
    <row r="582" spans="1:15" ht="17.850000000000001" customHeight="1" x14ac:dyDescent="0.25">
      <c r="A582" s="96"/>
      <c r="B582" s="238"/>
      <c r="C582" s="93"/>
      <c r="D582" s="92"/>
      <c r="E582" s="270"/>
      <c r="F582" s="273"/>
      <c r="G582" s="274"/>
      <c r="H582" s="279"/>
      <c r="I582" s="280"/>
      <c r="J582" s="281"/>
      <c r="K582" s="283"/>
      <c r="L582" s="273"/>
      <c r="M582" s="274"/>
      <c r="N582" s="139"/>
      <c r="O582" s="281"/>
    </row>
    <row r="583" spans="1:15" ht="17.850000000000001" customHeight="1" x14ac:dyDescent="0.25">
      <c r="A583" s="96"/>
      <c r="B583" s="238"/>
      <c r="C583" s="93"/>
      <c r="D583" s="92"/>
      <c r="E583" s="270"/>
      <c r="F583" s="273"/>
      <c r="G583" s="274"/>
      <c r="H583" s="279"/>
      <c r="I583" s="280"/>
      <c r="J583" s="281"/>
      <c r="K583" s="283"/>
      <c r="L583" s="273"/>
      <c r="M583" s="274"/>
      <c r="N583" s="139"/>
      <c r="O583" s="281"/>
    </row>
    <row r="584" spans="1:15" ht="17.850000000000001" customHeight="1" x14ac:dyDescent="0.25">
      <c r="A584" s="96"/>
      <c r="B584" s="238"/>
      <c r="C584" s="93"/>
      <c r="D584" s="92"/>
      <c r="E584" s="270"/>
      <c r="F584" s="273"/>
      <c r="G584" s="274"/>
      <c r="H584" s="279"/>
      <c r="I584" s="280"/>
      <c r="J584" s="281"/>
      <c r="K584" s="283"/>
      <c r="L584" s="273"/>
      <c r="M584" s="274"/>
      <c r="N584" s="139"/>
      <c r="O584" s="281"/>
    </row>
    <row r="585" spans="1:15" ht="17.850000000000001" customHeight="1" x14ac:dyDescent="0.25">
      <c r="A585" s="96"/>
      <c r="B585" s="238"/>
      <c r="C585" s="93"/>
      <c r="D585" s="92"/>
      <c r="E585" s="270"/>
      <c r="F585" s="273"/>
      <c r="G585" s="274"/>
      <c r="H585" s="279"/>
      <c r="I585" s="280"/>
      <c r="J585" s="281"/>
      <c r="K585" s="283"/>
      <c r="L585" s="273"/>
      <c r="M585" s="274"/>
      <c r="N585" s="139"/>
      <c r="O585" s="281"/>
    </row>
    <row r="586" spans="1:15" ht="17.850000000000001" customHeight="1" x14ac:dyDescent="0.25">
      <c r="A586" s="96"/>
      <c r="B586" s="238"/>
      <c r="C586" s="93"/>
      <c r="D586" s="92"/>
      <c r="E586" s="270"/>
      <c r="F586" s="273"/>
      <c r="G586" s="274"/>
      <c r="H586" s="279"/>
      <c r="I586" s="280"/>
      <c r="J586" s="281"/>
      <c r="K586" s="283"/>
      <c r="L586" s="273"/>
      <c r="M586" s="274"/>
      <c r="N586" s="139"/>
      <c r="O586" s="281"/>
    </row>
    <row r="587" spans="1:15" ht="17.850000000000001" customHeight="1" x14ac:dyDescent="0.25">
      <c r="A587" s="96"/>
      <c r="B587" s="238"/>
      <c r="C587" s="93"/>
      <c r="D587" s="92"/>
      <c r="E587" s="270"/>
      <c r="F587" s="273"/>
      <c r="G587" s="274"/>
      <c r="H587" s="279"/>
      <c r="I587" s="280"/>
      <c r="J587" s="281"/>
      <c r="K587" s="283"/>
      <c r="L587" s="273"/>
      <c r="M587" s="274"/>
      <c r="N587" s="139"/>
      <c r="O587" s="281"/>
    </row>
    <row r="588" spans="1:15" ht="17.850000000000001" customHeight="1" x14ac:dyDescent="0.25">
      <c r="A588" s="96"/>
      <c r="B588" s="238"/>
      <c r="C588" s="93"/>
      <c r="D588" s="92"/>
      <c r="E588" s="270"/>
      <c r="F588" s="273"/>
      <c r="G588" s="274"/>
      <c r="H588" s="279"/>
      <c r="I588" s="280"/>
      <c r="J588" s="281"/>
      <c r="K588" s="283"/>
      <c r="L588" s="273"/>
      <c r="M588" s="274"/>
      <c r="N588" s="139"/>
      <c r="O588" s="281"/>
    </row>
    <row r="589" spans="1:15" ht="17.850000000000001" customHeight="1" x14ac:dyDescent="0.25">
      <c r="A589" s="96"/>
      <c r="B589" s="238"/>
      <c r="C589" s="93"/>
      <c r="D589" s="92"/>
      <c r="E589" s="270"/>
      <c r="F589" s="273"/>
      <c r="G589" s="274"/>
      <c r="H589" s="279"/>
      <c r="I589" s="280"/>
      <c r="J589" s="281"/>
      <c r="K589" s="283"/>
      <c r="L589" s="273"/>
      <c r="M589" s="274"/>
      <c r="N589" s="139"/>
      <c r="O589" s="281"/>
    </row>
    <row r="590" spans="1:15" ht="17.850000000000001" customHeight="1" x14ac:dyDescent="0.25">
      <c r="A590" s="96"/>
      <c r="B590" s="238"/>
      <c r="C590" s="93"/>
      <c r="D590" s="92"/>
      <c r="E590" s="270"/>
      <c r="F590" s="273"/>
      <c r="G590" s="274"/>
      <c r="H590" s="279"/>
      <c r="I590" s="280"/>
      <c r="J590" s="281"/>
      <c r="K590" s="283"/>
      <c r="L590" s="273"/>
      <c r="M590" s="274"/>
      <c r="N590" s="139"/>
      <c r="O590" s="281"/>
    </row>
    <row r="591" spans="1:15" ht="17.850000000000001" customHeight="1" x14ac:dyDescent="0.25">
      <c r="A591" s="96"/>
      <c r="B591" s="238"/>
      <c r="C591" s="93"/>
      <c r="D591" s="92"/>
      <c r="E591" s="270"/>
      <c r="F591" s="273"/>
      <c r="G591" s="274"/>
      <c r="H591" s="279"/>
      <c r="I591" s="280"/>
      <c r="J591" s="281"/>
      <c r="K591" s="283"/>
      <c r="L591" s="273"/>
      <c r="M591" s="274"/>
      <c r="N591" s="139"/>
      <c r="O591" s="281"/>
    </row>
    <row r="592" spans="1:15" ht="17.850000000000001" customHeight="1" x14ac:dyDescent="0.25">
      <c r="A592" s="96"/>
      <c r="B592" s="238"/>
      <c r="C592" s="93"/>
      <c r="D592" s="92"/>
      <c r="E592" s="270"/>
      <c r="F592" s="273"/>
      <c r="G592" s="274"/>
      <c r="H592" s="279"/>
      <c r="I592" s="280"/>
      <c r="J592" s="281"/>
      <c r="K592" s="283"/>
      <c r="L592" s="273"/>
      <c r="M592" s="274"/>
      <c r="N592" s="139"/>
      <c r="O592" s="281"/>
    </row>
    <row r="593" spans="1:15" ht="17.850000000000001" customHeight="1" x14ac:dyDescent="0.25">
      <c r="A593" s="96"/>
      <c r="B593" s="238"/>
      <c r="C593" s="93"/>
      <c r="D593" s="92"/>
      <c r="E593" s="270"/>
      <c r="F593" s="273"/>
      <c r="G593" s="274"/>
      <c r="H593" s="279"/>
      <c r="I593" s="280"/>
      <c r="J593" s="281"/>
      <c r="K593" s="283"/>
      <c r="L593" s="273"/>
      <c r="M593" s="274"/>
      <c r="N593" s="139"/>
      <c r="O593" s="281"/>
    </row>
    <row r="594" spans="1:15" ht="17.850000000000001" customHeight="1" x14ac:dyDescent="0.25">
      <c r="A594" s="96"/>
      <c r="B594" s="238"/>
      <c r="C594" s="93"/>
      <c r="D594" s="92"/>
      <c r="E594" s="270"/>
      <c r="F594" s="273"/>
      <c r="G594" s="274"/>
      <c r="H594" s="279"/>
      <c r="I594" s="280"/>
      <c r="J594" s="281"/>
      <c r="K594" s="283"/>
      <c r="L594" s="273"/>
      <c r="M594" s="274"/>
      <c r="N594" s="139"/>
      <c r="O594" s="281"/>
    </row>
    <row r="595" spans="1:15" ht="17.850000000000001" customHeight="1" x14ac:dyDescent="0.25">
      <c r="A595" s="96"/>
      <c r="B595" s="238"/>
      <c r="C595" s="93"/>
      <c r="D595" s="92"/>
      <c r="E595" s="270"/>
      <c r="F595" s="273"/>
      <c r="G595" s="274"/>
      <c r="H595" s="279"/>
      <c r="I595" s="280"/>
      <c r="J595" s="281"/>
      <c r="K595" s="283"/>
      <c r="L595" s="273"/>
      <c r="M595" s="274"/>
      <c r="N595" s="139"/>
      <c r="O595" s="281"/>
    </row>
    <row r="596" spans="1:15" ht="17.850000000000001" customHeight="1" x14ac:dyDescent="0.25">
      <c r="A596" s="96"/>
      <c r="B596" s="238"/>
      <c r="C596" s="93"/>
      <c r="D596" s="92"/>
      <c r="E596" s="270"/>
      <c r="F596" s="273"/>
      <c r="G596" s="274"/>
      <c r="H596" s="279"/>
      <c r="I596" s="280"/>
      <c r="J596" s="281"/>
      <c r="K596" s="283"/>
      <c r="L596" s="273"/>
      <c r="M596" s="274"/>
      <c r="N596" s="139"/>
      <c r="O596" s="281"/>
    </row>
    <row r="597" spans="1:15" ht="17.850000000000001" customHeight="1" x14ac:dyDescent="0.25">
      <c r="A597" s="96"/>
      <c r="B597" s="238"/>
      <c r="C597" s="93"/>
      <c r="D597" s="92"/>
      <c r="E597" s="270"/>
      <c r="F597" s="273"/>
      <c r="G597" s="274"/>
      <c r="H597" s="279"/>
      <c r="I597" s="280"/>
      <c r="J597" s="281"/>
      <c r="K597" s="283"/>
      <c r="L597" s="273"/>
      <c r="M597" s="274"/>
      <c r="N597" s="139"/>
      <c r="O597" s="281"/>
    </row>
    <row r="598" spans="1:15" ht="17.850000000000001" customHeight="1" x14ac:dyDescent="0.25">
      <c r="A598" s="96"/>
      <c r="B598" s="238"/>
      <c r="C598" s="93"/>
      <c r="D598" s="92"/>
      <c r="E598" s="270"/>
      <c r="F598" s="273"/>
      <c r="G598" s="274"/>
      <c r="H598" s="279"/>
      <c r="I598" s="280"/>
      <c r="J598" s="281"/>
      <c r="K598" s="283"/>
      <c r="L598" s="273"/>
      <c r="M598" s="274"/>
      <c r="N598" s="139"/>
      <c r="O598" s="281"/>
    </row>
    <row r="599" spans="1:15" ht="17.850000000000001" customHeight="1" x14ac:dyDescent="0.25">
      <c r="A599" s="96"/>
      <c r="B599" s="238"/>
      <c r="C599" s="93"/>
      <c r="D599" s="92"/>
      <c r="E599" s="270"/>
      <c r="F599" s="273"/>
      <c r="G599" s="274"/>
      <c r="H599" s="279"/>
      <c r="I599" s="280"/>
      <c r="J599" s="281"/>
      <c r="K599" s="283"/>
      <c r="L599" s="273"/>
      <c r="M599" s="274"/>
      <c r="N599" s="139"/>
      <c r="O599" s="281"/>
    </row>
    <row r="600" spans="1:15" ht="17.850000000000001" customHeight="1" x14ac:dyDescent="0.25">
      <c r="A600" s="96"/>
      <c r="B600" s="238"/>
      <c r="C600" s="93"/>
      <c r="D600" s="92"/>
      <c r="E600" s="270"/>
      <c r="F600" s="273"/>
      <c r="G600" s="274"/>
      <c r="H600" s="279"/>
      <c r="I600" s="280"/>
      <c r="J600" s="281"/>
      <c r="K600" s="283"/>
      <c r="L600" s="273"/>
      <c r="M600" s="274"/>
      <c r="N600" s="139"/>
      <c r="O600" s="281"/>
    </row>
    <row r="601" spans="1:15" ht="17.850000000000001" customHeight="1" x14ac:dyDescent="0.25">
      <c r="A601" s="96"/>
      <c r="B601" s="238"/>
      <c r="C601" s="93"/>
      <c r="D601" s="92"/>
      <c r="E601" s="270"/>
      <c r="F601" s="273"/>
      <c r="G601" s="274"/>
      <c r="H601" s="279"/>
      <c r="I601" s="280"/>
      <c r="J601" s="281"/>
      <c r="K601" s="283"/>
      <c r="L601" s="273"/>
      <c r="M601" s="274"/>
      <c r="N601" s="139"/>
      <c r="O601" s="281"/>
    </row>
    <row r="602" spans="1:15" ht="17.850000000000001" customHeight="1" x14ac:dyDescent="0.25">
      <c r="A602" s="96"/>
      <c r="B602" s="238"/>
      <c r="C602" s="93"/>
      <c r="D602" s="92"/>
      <c r="E602" s="270"/>
      <c r="F602" s="273"/>
      <c r="G602" s="274"/>
      <c r="H602" s="279"/>
      <c r="I602" s="280"/>
      <c r="J602" s="281"/>
      <c r="K602" s="283"/>
      <c r="L602" s="273"/>
      <c r="M602" s="274"/>
      <c r="N602" s="139"/>
      <c r="O602" s="281"/>
    </row>
    <row r="603" spans="1:15" ht="17.850000000000001" customHeight="1" x14ac:dyDescent="0.25">
      <c r="A603" s="96"/>
      <c r="B603" s="238"/>
      <c r="C603" s="93"/>
      <c r="D603" s="92"/>
      <c r="E603" s="270"/>
      <c r="F603" s="273"/>
      <c r="G603" s="274"/>
      <c r="H603" s="279"/>
      <c r="I603" s="280"/>
      <c r="J603" s="281"/>
      <c r="K603" s="283"/>
      <c r="L603" s="273"/>
      <c r="M603" s="274"/>
      <c r="N603" s="139"/>
      <c r="O603" s="281"/>
    </row>
    <row r="604" spans="1:15" ht="17.850000000000001" customHeight="1" x14ac:dyDescent="0.25">
      <c r="A604" s="96"/>
      <c r="B604" s="238"/>
      <c r="C604" s="93"/>
      <c r="D604" s="92"/>
      <c r="E604" s="270"/>
      <c r="F604" s="273"/>
      <c r="G604" s="274"/>
      <c r="H604" s="279"/>
      <c r="I604" s="280"/>
      <c r="J604" s="281"/>
      <c r="K604" s="283"/>
      <c r="L604" s="273"/>
      <c r="M604" s="274"/>
      <c r="N604" s="139"/>
      <c r="O604" s="281"/>
    </row>
    <row r="605" spans="1:15" ht="17.850000000000001" customHeight="1" x14ac:dyDescent="0.25">
      <c r="A605" s="96"/>
      <c r="B605" s="238"/>
      <c r="C605" s="93"/>
      <c r="D605" s="92"/>
      <c r="E605" s="270"/>
      <c r="F605" s="273"/>
      <c r="G605" s="274"/>
      <c r="H605" s="279"/>
      <c r="I605" s="280"/>
      <c r="J605" s="281"/>
      <c r="K605" s="283"/>
      <c r="L605" s="273"/>
      <c r="M605" s="274"/>
      <c r="N605" s="139"/>
      <c r="O605" s="281"/>
    </row>
    <row r="606" spans="1:15" ht="17.850000000000001" customHeight="1" x14ac:dyDescent="0.25">
      <c r="A606" s="96"/>
      <c r="B606" s="238"/>
      <c r="C606" s="93"/>
      <c r="D606" s="92"/>
      <c r="E606" s="270"/>
      <c r="F606" s="273"/>
      <c r="G606" s="274"/>
      <c r="H606" s="279"/>
      <c r="I606" s="280"/>
      <c r="J606" s="281"/>
      <c r="K606" s="283"/>
      <c r="L606" s="273"/>
      <c r="M606" s="274"/>
      <c r="N606" s="139"/>
      <c r="O606" s="281"/>
    </row>
    <row r="607" spans="1:15" ht="17.850000000000001" customHeight="1" x14ac:dyDescent="0.25">
      <c r="A607" s="96"/>
      <c r="B607" s="238"/>
      <c r="C607" s="93"/>
      <c r="D607" s="92"/>
      <c r="E607" s="270"/>
      <c r="F607" s="273"/>
      <c r="G607" s="274"/>
      <c r="H607" s="279"/>
      <c r="I607" s="280"/>
      <c r="J607" s="281"/>
      <c r="K607" s="283"/>
      <c r="L607" s="273"/>
      <c r="M607" s="274"/>
      <c r="N607" s="139"/>
      <c r="O607" s="281"/>
    </row>
    <row r="608" spans="1:15" ht="17.850000000000001" customHeight="1" x14ac:dyDescent="0.25">
      <c r="A608" s="96"/>
      <c r="B608" s="238"/>
      <c r="C608" s="93"/>
      <c r="D608" s="92"/>
      <c r="E608" s="270"/>
      <c r="F608" s="273"/>
      <c r="G608" s="274"/>
      <c r="H608" s="279"/>
      <c r="I608" s="280"/>
      <c r="J608" s="281"/>
      <c r="K608" s="283"/>
      <c r="L608" s="273"/>
      <c r="M608" s="274"/>
      <c r="N608" s="139"/>
      <c r="O608" s="281"/>
    </row>
    <row r="609" spans="1:15" ht="17.850000000000001" customHeight="1" x14ac:dyDescent="0.25">
      <c r="A609" s="96"/>
      <c r="B609" s="238"/>
      <c r="C609" s="93"/>
      <c r="D609" s="92"/>
      <c r="E609" s="270"/>
      <c r="F609" s="273"/>
      <c r="G609" s="274"/>
      <c r="H609" s="279"/>
      <c r="I609" s="280"/>
      <c r="J609" s="281"/>
      <c r="K609" s="283"/>
      <c r="L609" s="273"/>
      <c r="M609" s="274"/>
      <c r="N609" s="139"/>
      <c r="O609" s="281"/>
    </row>
    <row r="610" spans="1:15" ht="17.850000000000001" customHeight="1" x14ac:dyDescent="0.25">
      <c r="A610" s="96"/>
      <c r="B610" s="238"/>
      <c r="C610" s="93"/>
      <c r="D610" s="92"/>
      <c r="E610" s="270"/>
      <c r="F610" s="273"/>
      <c r="G610" s="274"/>
      <c r="H610" s="279"/>
      <c r="I610" s="280"/>
      <c r="J610" s="281"/>
      <c r="K610" s="283"/>
      <c r="L610" s="273"/>
      <c r="M610" s="274"/>
      <c r="N610" s="139"/>
      <c r="O610" s="281"/>
    </row>
    <row r="611" spans="1:15" ht="17.850000000000001" customHeight="1" x14ac:dyDescent="0.25">
      <c r="A611" s="96"/>
      <c r="B611" s="238"/>
      <c r="C611" s="93"/>
      <c r="D611" s="92"/>
      <c r="E611" s="270"/>
      <c r="F611" s="273"/>
      <c r="G611" s="274"/>
      <c r="H611" s="279"/>
      <c r="I611" s="280"/>
      <c r="J611" s="281"/>
      <c r="K611" s="283"/>
      <c r="L611" s="273"/>
      <c r="M611" s="274"/>
      <c r="N611" s="139"/>
      <c r="O611" s="281"/>
    </row>
    <row r="612" spans="1:15" ht="17.850000000000001" customHeight="1" x14ac:dyDescent="0.25">
      <c r="A612" s="96"/>
      <c r="B612" s="238"/>
      <c r="C612" s="93"/>
      <c r="D612" s="92"/>
      <c r="E612" s="270"/>
      <c r="F612" s="273"/>
      <c r="G612" s="274"/>
      <c r="H612" s="279"/>
      <c r="I612" s="280"/>
      <c r="J612" s="281"/>
      <c r="K612" s="283"/>
      <c r="L612" s="273"/>
      <c r="M612" s="274"/>
      <c r="N612" s="139"/>
      <c r="O612" s="281"/>
    </row>
    <row r="613" spans="1:15" ht="17.850000000000001" customHeight="1" x14ac:dyDescent="0.25">
      <c r="A613" s="96"/>
      <c r="B613" s="238"/>
      <c r="C613" s="93"/>
      <c r="D613" s="92"/>
      <c r="E613" s="270"/>
      <c r="F613" s="273"/>
      <c r="G613" s="274"/>
      <c r="H613" s="279"/>
      <c r="I613" s="280"/>
      <c r="J613" s="281"/>
      <c r="K613" s="283"/>
      <c r="L613" s="273"/>
      <c r="M613" s="274"/>
      <c r="N613" s="139"/>
      <c r="O613" s="281"/>
    </row>
    <row r="614" spans="1:15" ht="17.850000000000001" customHeight="1" x14ac:dyDescent="0.25">
      <c r="A614" s="96"/>
      <c r="B614" s="238"/>
      <c r="C614" s="93"/>
      <c r="D614" s="92"/>
      <c r="E614" s="270"/>
      <c r="F614" s="273"/>
      <c r="G614" s="274"/>
      <c r="H614" s="279"/>
      <c r="I614" s="280"/>
      <c r="J614" s="281"/>
      <c r="K614" s="283"/>
      <c r="L614" s="273"/>
      <c r="M614" s="274"/>
      <c r="N614" s="139"/>
      <c r="O614" s="281"/>
    </row>
    <row r="615" spans="1:15" ht="17.850000000000001" customHeight="1" x14ac:dyDescent="0.25">
      <c r="A615" s="96"/>
      <c r="B615" s="238"/>
      <c r="C615" s="93"/>
      <c r="D615" s="92"/>
      <c r="E615" s="270"/>
      <c r="F615" s="273"/>
      <c r="G615" s="274"/>
      <c r="H615" s="279"/>
      <c r="I615" s="280"/>
      <c r="J615" s="281"/>
      <c r="K615" s="283"/>
      <c r="L615" s="273"/>
      <c r="M615" s="274"/>
      <c r="N615" s="139"/>
      <c r="O615" s="281"/>
    </row>
    <row r="616" spans="1:15" ht="17.850000000000001" customHeight="1" x14ac:dyDescent="0.25">
      <c r="A616" s="96"/>
      <c r="B616" s="238"/>
      <c r="C616" s="93"/>
      <c r="D616" s="92"/>
      <c r="E616" s="270"/>
      <c r="F616" s="273"/>
      <c r="G616" s="274"/>
      <c r="H616" s="279"/>
      <c r="I616" s="280"/>
      <c r="J616" s="281"/>
      <c r="K616" s="283"/>
      <c r="L616" s="273"/>
      <c r="M616" s="274"/>
      <c r="N616" s="139"/>
      <c r="O616" s="281"/>
    </row>
    <row r="617" spans="1:15" ht="17.850000000000001" customHeight="1" x14ac:dyDescent="0.25">
      <c r="A617" s="96"/>
      <c r="B617" s="238"/>
      <c r="C617" s="93"/>
      <c r="D617" s="92"/>
      <c r="E617" s="270"/>
      <c r="F617" s="273"/>
      <c r="G617" s="274"/>
      <c r="H617" s="279"/>
      <c r="I617" s="280"/>
      <c r="J617" s="281"/>
      <c r="K617" s="283"/>
      <c r="L617" s="273"/>
      <c r="M617" s="274"/>
      <c r="N617" s="139"/>
      <c r="O617" s="281"/>
    </row>
    <row r="618" spans="1:15" ht="17.850000000000001" customHeight="1" x14ac:dyDescent="0.25">
      <c r="A618" s="96"/>
      <c r="B618" s="238"/>
      <c r="C618" s="93"/>
      <c r="D618" s="92"/>
      <c r="E618" s="270"/>
      <c r="F618" s="273"/>
      <c r="G618" s="274"/>
      <c r="H618" s="279"/>
      <c r="I618" s="280"/>
      <c r="J618" s="281"/>
      <c r="K618" s="283"/>
      <c r="L618" s="273"/>
      <c r="M618" s="274"/>
      <c r="N618" s="139"/>
      <c r="O618" s="281"/>
    </row>
    <row r="619" spans="1:15" ht="17.850000000000001" customHeight="1" x14ac:dyDescent="0.25">
      <c r="A619" s="96"/>
      <c r="B619" s="238"/>
      <c r="C619" s="93"/>
      <c r="D619" s="92"/>
      <c r="E619" s="270"/>
      <c r="F619" s="273"/>
      <c r="G619" s="274"/>
      <c r="H619" s="279"/>
      <c r="I619" s="280"/>
      <c r="J619" s="281"/>
      <c r="K619" s="283"/>
      <c r="L619" s="273"/>
      <c r="M619" s="274"/>
      <c r="N619" s="139"/>
      <c r="O619" s="281"/>
    </row>
    <row r="620" spans="1:15" ht="17.850000000000001" customHeight="1" x14ac:dyDescent="0.25">
      <c r="A620" s="96"/>
      <c r="B620" s="238"/>
      <c r="C620" s="93"/>
      <c r="D620" s="92"/>
      <c r="E620" s="270"/>
      <c r="F620" s="273"/>
      <c r="G620" s="274"/>
      <c r="H620" s="279"/>
      <c r="I620" s="280"/>
      <c r="J620" s="281"/>
      <c r="K620" s="283"/>
      <c r="L620" s="273"/>
      <c r="M620" s="274"/>
      <c r="N620" s="139"/>
      <c r="O620" s="281"/>
    </row>
    <row r="621" spans="1:15" ht="17.850000000000001" customHeight="1" x14ac:dyDescent="0.25">
      <c r="A621" s="96"/>
      <c r="B621" s="238"/>
      <c r="C621" s="93"/>
      <c r="D621" s="92"/>
      <c r="E621" s="270"/>
      <c r="F621" s="273"/>
      <c r="G621" s="274"/>
      <c r="H621" s="279"/>
      <c r="I621" s="280"/>
      <c r="J621" s="281"/>
      <c r="K621" s="283"/>
      <c r="L621" s="273"/>
      <c r="M621" s="274"/>
      <c r="N621" s="139"/>
      <c r="O621" s="281"/>
    </row>
    <row r="622" spans="1:15" ht="17.850000000000001" customHeight="1" x14ac:dyDescent="0.25">
      <c r="A622" s="96"/>
      <c r="B622" s="238"/>
      <c r="C622" s="93"/>
      <c r="D622" s="92"/>
      <c r="E622" s="270"/>
      <c r="F622" s="273"/>
      <c r="G622" s="274"/>
      <c r="H622" s="279"/>
      <c r="I622" s="280"/>
      <c r="J622" s="281"/>
      <c r="K622" s="283"/>
      <c r="L622" s="273"/>
      <c r="M622" s="274"/>
      <c r="N622" s="139"/>
      <c r="O622" s="281"/>
    </row>
    <row r="623" spans="1:15" ht="17.850000000000001" customHeight="1" x14ac:dyDescent="0.25">
      <c r="A623" s="96"/>
      <c r="B623" s="238"/>
      <c r="C623" s="93"/>
      <c r="D623" s="92"/>
      <c r="E623" s="270"/>
      <c r="F623" s="273"/>
      <c r="G623" s="274"/>
      <c r="H623" s="279"/>
      <c r="I623" s="280"/>
      <c r="J623" s="281"/>
      <c r="K623" s="283"/>
      <c r="L623" s="273"/>
      <c r="M623" s="274"/>
      <c r="N623" s="139"/>
      <c r="O623" s="281"/>
    </row>
    <row r="624" spans="1:15" ht="17.850000000000001" customHeight="1" x14ac:dyDescent="0.25">
      <c r="A624" s="96"/>
      <c r="B624" s="238"/>
      <c r="C624" s="93"/>
      <c r="D624" s="92"/>
      <c r="E624" s="270"/>
      <c r="F624" s="273"/>
      <c r="G624" s="274"/>
      <c r="H624" s="279"/>
      <c r="I624" s="280"/>
      <c r="J624" s="281"/>
      <c r="K624" s="283"/>
      <c r="L624" s="273"/>
      <c r="M624" s="274"/>
      <c r="N624" s="139"/>
      <c r="O624" s="281"/>
    </row>
    <row r="625" spans="1:15" ht="17.850000000000001" customHeight="1" x14ac:dyDescent="0.25">
      <c r="A625" s="96"/>
      <c r="B625" s="238"/>
      <c r="C625" s="93"/>
      <c r="D625" s="92"/>
      <c r="E625" s="270"/>
      <c r="F625" s="273"/>
      <c r="G625" s="274"/>
      <c r="H625" s="279"/>
      <c r="I625" s="280"/>
      <c r="J625" s="281"/>
      <c r="K625" s="283"/>
      <c r="L625" s="273"/>
      <c r="M625" s="274"/>
      <c r="N625" s="139"/>
      <c r="O625" s="281"/>
    </row>
    <row r="626" spans="1:15" ht="17.850000000000001" customHeight="1" x14ac:dyDescent="0.25">
      <c r="A626" s="96"/>
      <c r="B626" s="238"/>
      <c r="C626" s="93"/>
      <c r="D626" s="92"/>
      <c r="E626" s="270"/>
      <c r="F626" s="273"/>
      <c r="G626" s="274"/>
      <c r="H626" s="279"/>
      <c r="I626" s="280"/>
      <c r="J626" s="281"/>
      <c r="K626" s="283"/>
      <c r="L626" s="273"/>
      <c r="M626" s="274"/>
      <c r="N626" s="139"/>
      <c r="O626" s="281"/>
    </row>
    <row r="627" spans="1:15" ht="17.850000000000001" customHeight="1" x14ac:dyDescent="0.25">
      <c r="A627" s="96"/>
      <c r="B627" s="238"/>
      <c r="C627" s="93"/>
      <c r="D627" s="92"/>
      <c r="E627" s="270"/>
      <c r="F627" s="273"/>
      <c r="G627" s="274"/>
      <c r="H627" s="279"/>
      <c r="I627" s="280"/>
      <c r="J627" s="281"/>
      <c r="K627" s="283"/>
      <c r="L627" s="273"/>
      <c r="M627" s="274"/>
      <c r="N627" s="139"/>
      <c r="O627" s="281"/>
    </row>
    <row r="628" spans="1:15" ht="17.850000000000001" customHeight="1" x14ac:dyDescent="0.25">
      <c r="A628" s="96"/>
      <c r="B628" s="238"/>
      <c r="C628" s="93"/>
      <c r="D628" s="92"/>
      <c r="E628" s="270"/>
      <c r="F628" s="273"/>
      <c r="G628" s="274"/>
      <c r="H628" s="279"/>
      <c r="I628" s="280"/>
      <c r="J628" s="281"/>
      <c r="K628" s="283"/>
      <c r="L628" s="273"/>
      <c r="M628" s="274"/>
      <c r="N628" s="139"/>
      <c r="O628" s="281"/>
    </row>
    <row r="629" spans="1:15" ht="17.850000000000001" customHeight="1" x14ac:dyDescent="0.25">
      <c r="A629" s="96"/>
      <c r="B629" s="238"/>
      <c r="C629" s="93"/>
      <c r="D629" s="92"/>
      <c r="E629" s="270"/>
      <c r="F629" s="273"/>
      <c r="G629" s="274"/>
      <c r="H629" s="279"/>
      <c r="I629" s="280"/>
      <c r="J629" s="281"/>
      <c r="K629" s="283"/>
      <c r="L629" s="273"/>
      <c r="M629" s="274"/>
      <c r="N629" s="139"/>
      <c r="O629" s="281"/>
    </row>
    <row r="630" spans="1:15" ht="17.850000000000001" customHeight="1" x14ac:dyDescent="0.25">
      <c r="A630" s="96"/>
      <c r="B630" s="238"/>
      <c r="C630" s="93"/>
      <c r="D630" s="92"/>
      <c r="E630" s="270"/>
      <c r="F630" s="273"/>
      <c r="G630" s="274"/>
      <c r="H630" s="279"/>
      <c r="I630" s="280"/>
      <c r="J630" s="281"/>
      <c r="K630" s="283"/>
      <c r="L630" s="273"/>
      <c r="M630" s="274"/>
      <c r="N630" s="139"/>
      <c r="O630" s="281"/>
    </row>
    <row r="631" spans="1:15" ht="17.850000000000001" customHeight="1" x14ac:dyDescent="0.25">
      <c r="A631" s="96"/>
      <c r="B631" s="238"/>
      <c r="C631" s="93"/>
      <c r="D631" s="92"/>
      <c r="E631" s="270"/>
      <c r="F631" s="273"/>
      <c r="G631" s="274"/>
      <c r="H631" s="279"/>
      <c r="I631" s="280"/>
      <c r="J631" s="281"/>
      <c r="K631" s="283"/>
      <c r="L631" s="273"/>
      <c r="M631" s="274"/>
      <c r="N631" s="139"/>
      <c r="O631" s="281"/>
    </row>
    <row r="632" spans="1:15" ht="17.850000000000001" customHeight="1" x14ac:dyDescent="0.25">
      <c r="A632" s="96"/>
      <c r="B632" s="238"/>
      <c r="C632" s="93"/>
      <c r="D632" s="92"/>
      <c r="E632" s="270"/>
      <c r="F632" s="273"/>
      <c r="G632" s="274"/>
      <c r="H632" s="279"/>
      <c r="I632" s="280"/>
      <c r="J632" s="281"/>
      <c r="K632" s="283"/>
      <c r="L632" s="273"/>
      <c r="M632" s="274"/>
      <c r="N632" s="139"/>
      <c r="O632" s="281"/>
    </row>
    <row r="633" spans="1:15" ht="17.850000000000001" customHeight="1" x14ac:dyDescent="0.25">
      <c r="A633" s="96"/>
      <c r="B633" s="238"/>
      <c r="C633" s="93"/>
      <c r="D633" s="92"/>
      <c r="E633" s="270"/>
      <c r="F633" s="273"/>
      <c r="G633" s="274"/>
      <c r="H633" s="279"/>
      <c r="I633" s="280"/>
      <c r="J633" s="281"/>
      <c r="K633" s="283"/>
      <c r="L633" s="273"/>
      <c r="M633" s="274"/>
      <c r="N633" s="139"/>
      <c r="O633" s="281"/>
    </row>
    <row r="634" spans="1:15" ht="17.850000000000001" customHeight="1" x14ac:dyDescent="0.25">
      <c r="A634" s="96"/>
      <c r="B634" s="238"/>
      <c r="C634" s="93"/>
      <c r="D634" s="92"/>
      <c r="E634" s="270"/>
      <c r="F634" s="273"/>
      <c r="G634" s="274"/>
      <c r="H634" s="279"/>
      <c r="I634" s="280"/>
      <c r="J634" s="281"/>
      <c r="K634" s="283"/>
      <c r="L634" s="273"/>
      <c r="M634" s="274"/>
      <c r="N634" s="139"/>
      <c r="O634" s="281"/>
    </row>
    <row r="635" spans="1:15" ht="17.850000000000001" customHeight="1" x14ac:dyDescent="0.25">
      <c r="A635" s="96"/>
      <c r="B635" s="238"/>
      <c r="C635" s="93"/>
      <c r="D635" s="92"/>
      <c r="E635" s="270"/>
      <c r="F635" s="273"/>
      <c r="G635" s="274"/>
      <c r="H635" s="279"/>
      <c r="I635" s="280"/>
      <c r="J635" s="281"/>
      <c r="K635" s="283"/>
      <c r="L635" s="273"/>
      <c r="M635" s="274"/>
      <c r="N635" s="139"/>
      <c r="O635" s="281"/>
    </row>
    <row r="636" spans="1:15" ht="17.850000000000001" customHeight="1" x14ac:dyDescent="0.25">
      <c r="A636" s="96"/>
      <c r="B636" s="238"/>
      <c r="C636" s="93"/>
      <c r="D636" s="92"/>
      <c r="E636" s="270"/>
      <c r="F636" s="273"/>
      <c r="G636" s="274"/>
      <c r="H636" s="279"/>
      <c r="I636" s="280"/>
      <c r="J636" s="281"/>
      <c r="K636" s="283"/>
      <c r="L636" s="273"/>
      <c r="M636" s="274"/>
      <c r="N636" s="139"/>
      <c r="O636" s="281"/>
    </row>
    <row r="637" spans="1:15" ht="17.850000000000001" customHeight="1" x14ac:dyDescent="0.25">
      <c r="A637" s="96"/>
      <c r="B637" s="238"/>
      <c r="C637" s="93"/>
      <c r="D637" s="92"/>
      <c r="E637" s="270"/>
      <c r="F637" s="273"/>
      <c r="G637" s="274"/>
      <c r="H637" s="279"/>
      <c r="I637" s="280"/>
      <c r="J637" s="281"/>
      <c r="K637" s="283"/>
      <c r="L637" s="273"/>
      <c r="M637" s="274"/>
      <c r="N637" s="139"/>
      <c r="O637" s="281"/>
    </row>
    <row r="638" spans="1:15" ht="17.850000000000001" customHeight="1" x14ac:dyDescent="0.25">
      <c r="A638" s="96"/>
      <c r="B638" s="238"/>
      <c r="C638" s="93"/>
      <c r="D638" s="92"/>
      <c r="E638" s="270"/>
      <c r="F638" s="273"/>
      <c r="G638" s="274"/>
      <c r="H638" s="279"/>
      <c r="I638" s="280"/>
      <c r="J638" s="281"/>
      <c r="K638" s="283"/>
      <c r="L638" s="273"/>
      <c r="M638" s="274"/>
      <c r="N638" s="139"/>
      <c r="O638" s="281"/>
    </row>
    <row r="639" spans="1:15" ht="17.850000000000001" customHeight="1" x14ac:dyDescent="0.25">
      <c r="A639" s="96"/>
      <c r="B639" s="238"/>
      <c r="C639" s="93"/>
      <c r="D639" s="92"/>
      <c r="E639" s="270"/>
      <c r="F639" s="273"/>
      <c r="G639" s="274"/>
      <c r="H639" s="279"/>
      <c r="I639" s="280"/>
      <c r="J639" s="281"/>
      <c r="K639" s="283"/>
      <c r="L639" s="273"/>
      <c r="M639" s="274"/>
      <c r="N639" s="139"/>
      <c r="O639" s="281"/>
    </row>
    <row r="640" spans="1:15" ht="17.850000000000001" customHeight="1" x14ac:dyDescent="0.25">
      <c r="A640" s="96"/>
      <c r="B640" s="238"/>
      <c r="C640" s="93"/>
      <c r="D640" s="92"/>
      <c r="E640" s="270"/>
      <c r="F640" s="273"/>
      <c r="G640" s="274"/>
      <c r="H640" s="279"/>
      <c r="I640" s="280"/>
      <c r="J640" s="281"/>
      <c r="K640" s="283"/>
      <c r="L640" s="273"/>
      <c r="M640" s="274"/>
      <c r="N640" s="139"/>
      <c r="O640" s="281"/>
    </row>
    <row r="641" spans="1:15" ht="17.850000000000001" customHeight="1" x14ac:dyDescent="0.25">
      <c r="A641" s="96"/>
      <c r="B641" s="238"/>
      <c r="C641" s="93"/>
      <c r="D641" s="92"/>
      <c r="E641" s="270"/>
      <c r="F641" s="273"/>
      <c r="G641" s="274"/>
      <c r="H641" s="279"/>
      <c r="I641" s="280"/>
      <c r="J641" s="281"/>
      <c r="K641" s="283"/>
      <c r="L641" s="273"/>
      <c r="M641" s="274"/>
      <c r="N641" s="139"/>
      <c r="O641" s="281"/>
    </row>
    <row r="642" spans="1:15" ht="17.850000000000001" customHeight="1" x14ac:dyDescent="0.25">
      <c r="A642" s="96"/>
      <c r="B642" s="238"/>
      <c r="C642" s="93"/>
      <c r="D642" s="92"/>
      <c r="E642" s="270"/>
      <c r="F642" s="273"/>
      <c r="G642" s="274"/>
      <c r="H642" s="279"/>
      <c r="I642" s="280"/>
      <c r="J642" s="281"/>
      <c r="K642" s="283"/>
      <c r="L642" s="273"/>
      <c r="M642" s="274"/>
      <c r="N642" s="139"/>
      <c r="O642" s="281"/>
    </row>
    <row r="643" spans="1:15" ht="17.850000000000001" customHeight="1" x14ac:dyDescent="0.25">
      <c r="A643" s="96"/>
      <c r="B643" s="238"/>
      <c r="C643" s="93"/>
      <c r="D643" s="92"/>
      <c r="E643" s="270"/>
      <c r="F643" s="273"/>
      <c r="G643" s="274"/>
      <c r="H643" s="279"/>
      <c r="I643" s="280"/>
      <c r="J643" s="281"/>
      <c r="K643" s="283"/>
      <c r="L643" s="273"/>
      <c r="M643" s="274"/>
      <c r="N643" s="139"/>
      <c r="O643" s="281"/>
    </row>
    <row r="644" spans="1:15" ht="17.850000000000001" customHeight="1" x14ac:dyDescent="0.25">
      <c r="A644" s="96"/>
      <c r="B644" s="238"/>
      <c r="C644" s="93"/>
      <c r="D644" s="92"/>
      <c r="E644" s="270"/>
      <c r="F644" s="273"/>
      <c r="G644" s="274"/>
      <c r="H644" s="279"/>
      <c r="I644" s="280"/>
      <c r="J644" s="281"/>
      <c r="K644" s="283"/>
      <c r="L644" s="273"/>
      <c r="M644" s="274"/>
      <c r="N644" s="139"/>
      <c r="O644" s="281"/>
    </row>
    <row r="645" spans="1:15" ht="17.850000000000001" customHeight="1" x14ac:dyDescent="0.25">
      <c r="A645" s="96"/>
      <c r="B645" s="238"/>
      <c r="C645" s="93"/>
      <c r="D645" s="92"/>
      <c r="E645" s="270"/>
      <c r="F645" s="273"/>
      <c r="G645" s="274"/>
      <c r="H645" s="279"/>
      <c r="I645" s="280"/>
      <c r="J645" s="281"/>
      <c r="K645" s="283"/>
      <c r="L645" s="273"/>
      <c r="M645" s="274"/>
      <c r="N645" s="139"/>
      <c r="O645" s="281"/>
    </row>
    <row r="646" spans="1:15" ht="17.850000000000001" customHeight="1" x14ac:dyDescent="0.25">
      <c r="A646" s="96"/>
      <c r="B646" s="238"/>
      <c r="C646" s="93"/>
      <c r="D646" s="92"/>
      <c r="E646" s="270"/>
      <c r="F646" s="273"/>
      <c r="G646" s="274"/>
      <c r="H646" s="279"/>
      <c r="I646" s="280"/>
      <c r="J646" s="281"/>
      <c r="K646" s="283"/>
      <c r="L646" s="273"/>
      <c r="M646" s="274"/>
      <c r="N646" s="139"/>
      <c r="O646" s="281"/>
    </row>
    <row r="647" spans="1:15" ht="17.850000000000001" customHeight="1" x14ac:dyDescent="0.25">
      <c r="A647" s="96"/>
      <c r="B647" s="238"/>
      <c r="C647" s="93"/>
      <c r="D647" s="92"/>
      <c r="E647" s="270"/>
      <c r="F647" s="273"/>
      <c r="G647" s="274"/>
      <c r="H647" s="279"/>
      <c r="I647" s="280"/>
      <c r="J647" s="281"/>
      <c r="K647" s="283"/>
      <c r="L647" s="273"/>
      <c r="M647" s="274"/>
      <c r="N647" s="139"/>
      <c r="O647" s="281"/>
    </row>
    <row r="648" spans="1:15" ht="17.850000000000001" customHeight="1" x14ac:dyDescent="0.25">
      <c r="A648" s="96"/>
      <c r="B648" s="238"/>
      <c r="C648" s="93"/>
      <c r="D648" s="92"/>
      <c r="E648" s="270"/>
      <c r="F648" s="273"/>
      <c r="G648" s="274"/>
      <c r="H648" s="279"/>
      <c r="I648" s="280"/>
      <c r="J648" s="281"/>
      <c r="K648" s="283"/>
      <c r="L648" s="273"/>
      <c r="M648" s="274"/>
      <c r="N648" s="139"/>
      <c r="O648" s="281"/>
    </row>
  </sheetData>
  <autoFilter ref="A2:N153" xr:uid="{00000000-0001-0000-0300-000000000000}"/>
  <sortState xmlns:xlrd2="http://schemas.microsoft.com/office/spreadsheetml/2017/richdata2" ref="A3:O69">
    <sortCondition ref="A3:A69"/>
    <sortCondition ref="B3:B69"/>
  </sortState>
  <phoneticPr fontId="28" type="noConversion"/>
  <conditionalFormatting sqref="A3:A648">
    <cfRule type="expression" dxfId="11" priority="7">
      <formula>$A3&lt;TODAY()</formula>
    </cfRule>
  </conditionalFormatting>
  <conditionalFormatting sqref="A3:G648">
    <cfRule type="expression" dxfId="10" priority="5">
      <formula>$D3="Peak"</formula>
    </cfRule>
  </conditionalFormatting>
  <conditionalFormatting sqref="A3:XFD648">
    <cfRule type="expression" dxfId="9" priority="1">
      <formula>$O3="ja"</formula>
    </cfRule>
  </conditionalFormatting>
  <dataValidations count="3">
    <dataValidation type="list" allowBlank="1" showInputMessage="1" showErrorMessage="1" sqref="C3:C648" xr:uid="{3D8BD08B-3BED-4BB3-BE54-B9E6BBFACE2F}">
      <formula1>"Kauf,Verkauf"</formula1>
    </dataValidation>
    <dataValidation type="list" allowBlank="1" showInputMessage="1" showErrorMessage="1" sqref="D3:D648" xr:uid="{FD7AC57E-31A6-4D7C-B41A-84700A63F9BB}">
      <formula1>"Base,Peak"</formula1>
    </dataValidation>
    <dataValidation type="date" allowBlank="1" showInputMessage="1" showErrorMessage="1" sqref="A3:A648" xr:uid="{0DC7E8B4-3D73-4511-A0C8-AB0DF4AA63EF}">
      <formula1>45658</formula1>
      <formula2>49674</formula2>
    </dataValidation>
  </dataValidations>
  <pageMargins left="0.7" right="0.7" top="0.78740157499999996" bottom="0.78740157499999996" header="0.3" footer="0.3"/>
  <pageSetup paperSize="9" orientation="portrait" horizontalDpi="1200" verticalDpi="1200" r:id="rId1"/>
  <customProperties>
    <customPr name="_pios_id" r:id="rId2"/>
    <customPr name="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theme="4" tint="-0.499984740745262"/>
  </sheetPr>
  <dimension ref="A1:R21"/>
  <sheetViews>
    <sheetView showGridLines="0" zoomScaleNormal="100" workbookViewId="0">
      <selection activeCell="D7" sqref="D7"/>
    </sheetView>
  </sheetViews>
  <sheetFormatPr baseColWidth="10" defaultColWidth="11.42578125" defaultRowHeight="15" x14ac:dyDescent="0.25"/>
  <cols>
    <col min="1" max="1" width="13.5703125" customWidth="1"/>
    <col min="2" max="2" width="25.85546875" bestFit="1" customWidth="1"/>
    <col min="3" max="6" width="13.5703125" customWidth="1"/>
    <col min="7" max="7" width="83.5703125" customWidth="1"/>
    <col min="8" max="8" width="13.5703125" customWidth="1"/>
    <col min="9" max="10" width="14.42578125" bestFit="1" customWidth="1"/>
    <col min="12" max="12" width="11.5703125" bestFit="1" customWidth="1"/>
    <col min="13" max="13" width="18.5703125" customWidth="1"/>
  </cols>
  <sheetData>
    <row r="1" spans="1:18" ht="18.75" customHeight="1" x14ac:dyDescent="0.25">
      <c r="A1" s="218" t="s">
        <v>77</v>
      </c>
      <c r="B1" s="67"/>
      <c r="C1" s="4"/>
      <c r="D1" s="67"/>
      <c r="E1" s="67"/>
      <c r="F1" s="3"/>
      <c r="G1" s="244"/>
      <c r="H1" s="3"/>
      <c r="I1" s="3"/>
      <c r="J1" s="3"/>
      <c r="K1" s="131"/>
      <c r="L1" s="131"/>
      <c r="M1" s="2"/>
      <c r="N1" s="2"/>
      <c r="O1" s="2"/>
      <c r="P1" s="2"/>
      <c r="Q1" s="2"/>
      <c r="R1" s="2"/>
    </row>
    <row r="2" spans="1:18" x14ac:dyDescent="0.25">
      <c r="A2" s="125" t="s">
        <v>94</v>
      </c>
      <c r="B2" s="67"/>
      <c r="C2" s="4"/>
      <c r="D2" s="67"/>
      <c r="E2" s="67"/>
      <c r="F2" s="3"/>
      <c r="G2" s="244"/>
      <c r="H2" s="3"/>
      <c r="I2" s="3"/>
      <c r="J2" s="205"/>
      <c r="K2" s="131"/>
      <c r="L2" s="131"/>
      <c r="M2" s="2"/>
      <c r="N2" s="2"/>
      <c r="O2" s="2"/>
      <c r="P2" s="2"/>
      <c r="Q2" s="2"/>
      <c r="R2" s="2"/>
    </row>
    <row r="3" spans="1:18" x14ac:dyDescent="0.25">
      <c r="A3" s="134" t="s">
        <v>34</v>
      </c>
      <c r="B3" s="1"/>
      <c r="C3" s="134" t="s">
        <v>35</v>
      </c>
      <c r="D3" s="67"/>
      <c r="E3" s="67"/>
      <c r="F3" s="3"/>
      <c r="G3" s="244"/>
      <c r="H3" s="3"/>
      <c r="I3" s="3"/>
      <c r="J3" s="3"/>
      <c r="K3" s="5"/>
      <c r="L3" s="5"/>
      <c r="M3" s="5"/>
      <c r="N3" s="5"/>
      <c r="O3" s="2"/>
      <c r="P3" s="2"/>
      <c r="Q3" s="2"/>
      <c r="R3" s="2"/>
    </row>
    <row r="4" spans="1:18" ht="30" x14ac:dyDescent="0.25">
      <c r="A4" s="220" t="s">
        <v>72</v>
      </c>
      <c r="B4" s="221" t="s">
        <v>71</v>
      </c>
      <c r="C4" s="222" t="s">
        <v>95</v>
      </c>
      <c r="D4" s="221" t="s">
        <v>0</v>
      </c>
      <c r="E4" s="223" t="s">
        <v>96</v>
      </c>
      <c r="F4" s="224" t="s">
        <v>97</v>
      </c>
      <c r="G4" s="225" t="s">
        <v>104</v>
      </c>
      <c r="H4" s="223" t="s">
        <v>98</v>
      </c>
      <c r="I4" s="225" t="s">
        <v>105</v>
      </c>
      <c r="J4" s="225" t="s">
        <v>106</v>
      </c>
      <c r="K4" s="41"/>
      <c r="L4" s="41"/>
      <c r="M4" s="41"/>
      <c r="N4" s="41"/>
      <c r="O4" s="41"/>
      <c r="P4" s="41"/>
      <c r="Q4" s="41"/>
      <c r="R4" s="41"/>
    </row>
    <row r="5" spans="1:18" ht="14.85" customHeight="1" x14ac:dyDescent="0.25">
      <c r="A5" s="143">
        <v>2027</v>
      </c>
      <c r="B5" s="248" t="s">
        <v>156</v>
      </c>
      <c r="C5" s="128">
        <v>8760</v>
      </c>
      <c r="D5" s="91" t="s">
        <v>1</v>
      </c>
      <c r="E5" s="90">
        <v>90</v>
      </c>
      <c r="F5" s="90"/>
      <c r="G5" s="359">
        <v>46234</v>
      </c>
      <c r="H5" s="44">
        <f>IF(A5="","",VLOOKUP(A5,Vertriebsinfos!$A$13:$I$17,IF(D5="Peak",6,IF(D5="Base",2,"")),FALSE)+VLOOKUP(A5,Vertriebsinfos!$A$13:$I$17,IF(D5="Peak",7,IF(D5="Base",3,"")),FALSE))</f>
        <v>93.59</v>
      </c>
      <c r="I5" s="44">
        <f t="shared" ref="I5" si="0">IF(OR(E5="",H5="",H5=0),NA(),IF(E5&lt;0,ROUND(H5-E5,2),ROUND(E5-H5,2)))</f>
        <v>-3.59</v>
      </c>
      <c r="J5" s="44" t="e">
        <f t="shared" ref="J5" si="1">IF(F5="",NA(),IF(H5="",NA(),IF(F5&lt;0,H5-F5,F5-H5)))</f>
        <v>#N/A</v>
      </c>
      <c r="K5" s="2"/>
      <c r="L5" s="2"/>
      <c r="M5" s="2"/>
      <c r="N5" s="2"/>
      <c r="O5" s="2"/>
      <c r="P5" s="2"/>
      <c r="Q5" s="2"/>
      <c r="R5" s="2"/>
    </row>
    <row r="6" spans="1:18" x14ac:dyDescent="0.25">
      <c r="A6" s="143">
        <v>2028</v>
      </c>
      <c r="B6" s="248" t="s">
        <v>153</v>
      </c>
      <c r="C6" s="128">
        <v>200</v>
      </c>
      <c r="D6" s="91" t="s">
        <v>2</v>
      </c>
      <c r="E6" s="90">
        <v>99</v>
      </c>
      <c r="F6" s="90"/>
      <c r="G6" s="366">
        <v>46206</v>
      </c>
      <c r="H6" s="44">
        <f>IF(A6="","",VLOOKUP(A6,Vertriebsinfos!$A$13:$I$17,IF(D6="Peak",6,IF(D6="Base",2,"")),FALSE)+VLOOKUP(A6,Vertriebsinfos!$A$13:$I$17,IF(D6="Peak",7,IF(D6="Base",3,"")),FALSE))</f>
        <v>82.34</v>
      </c>
      <c r="I6" s="44">
        <f t="shared" ref="I6:I11" si="2">IF(OR(E6="",H6="",H6=0),NA(),IF(E6&lt;0,ROUND(H6-E6,2),ROUND(E6-H6,2)))</f>
        <v>16.66</v>
      </c>
      <c r="J6" s="44" t="e">
        <f t="shared" ref="J6:J11" si="3">IF(F6="",NA(),IF(H6="",NA(),IF(F6&lt;0,H6-F6,F6-H6)))</f>
        <v>#N/A</v>
      </c>
      <c r="K6" s="2"/>
      <c r="L6" s="2"/>
      <c r="M6" s="2"/>
      <c r="N6" s="2"/>
      <c r="O6" s="2"/>
      <c r="P6" s="2"/>
      <c r="Q6" s="2"/>
      <c r="R6" s="2"/>
    </row>
    <row r="7" spans="1:18" x14ac:dyDescent="0.25">
      <c r="A7" s="143"/>
      <c r="B7" s="248"/>
      <c r="C7" s="128"/>
      <c r="D7" s="91"/>
      <c r="E7" s="90"/>
      <c r="F7" s="90"/>
      <c r="G7" s="293"/>
      <c r="H7" s="44" t="str">
        <f>IF(A7="","",VLOOKUP(A7,Vertriebsinfos!$A$13:$I$17,IF(D7="Peak",6,IF(D7="Base",2,"")),FALSE)+VLOOKUP(A7,Vertriebsinfos!$A$13:$I$17,IF(D7="Peak",7,IF(D7="Base",3,"")),FALSE))</f>
        <v/>
      </c>
      <c r="I7" s="44" t="e">
        <f t="shared" si="2"/>
        <v>#N/A</v>
      </c>
      <c r="J7" s="44" t="e">
        <f t="shared" si="3"/>
        <v>#N/A</v>
      </c>
      <c r="K7" s="2"/>
      <c r="L7" s="2"/>
      <c r="M7" s="2"/>
      <c r="N7" s="2"/>
      <c r="O7" s="2"/>
      <c r="P7" s="2"/>
      <c r="Q7" s="2"/>
      <c r="R7" s="2"/>
    </row>
    <row r="8" spans="1:18" x14ac:dyDescent="0.25">
      <c r="A8" s="143"/>
      <c r="B8" s="248"/>
      <c r="C8" s="128"/>
      <c r="D8" s="91"/>
      <c r="E8" s="90"/>
      <c r="F8" s="90"/>
      <c r="G8" s="293"/>
      <c r="H8" s="44" t="str">
        <f>IF(A8="","",VLOOKUP(A8,Vertriebsinfos!$A$13:$I$17,IF(D8="Peak",6,IF(D8="Base",2,"")),FALSE)+VLOOKUP(A8,Vertriebsinfos!$A$13:$I$17,IF(D8="Peak",7,IF(D8="Base",3,"")),FALSE))</f>
        <v/>
      </c>
      <c r="I8" s="44" t="e">
        <f t="shared" si="2"/>
        <v>#N/A</v>
      </c>
      <c r="J8" s="44" t="e">
        <f t="shared" si="3"/>
        <v>#N/A</v>
      </c>
      <c r="K8" s="2"/>
      <c r="L8" s="2"/>
      <c r="M8" s="2"/>
      <c r="N8" s="2"/>
      <c r="O8" s="2"/>
      <c r="P8" s="2"/>
      <c r="Q8" s="2"/>
      <c r="R8" s="2"/>
    </row>
    <row r="9" spans="1:18" x14ac:dyDescent="0.25">
      <c r="A9" s="143"/>
      <c r="B9" s="248"/>
      <c r="C9" s="128"/>
      <c r="D9" s="91"/>
      <c r="E9" s="90"/>
      <c r="F9" s="90"/>
      <c r="G9" s="293"/>
      <c r="H9" s="44" t="str">
        <f>IF(A9="","",VLOOKUP(A9,Vertriebsinfos!$A$13:$I$17,IF(D9="Peak",6,IF(D9="Base",2,"")),FALSE)+VLOOKUP(A9,Vertriebsinfos!$A$13:$I$17,IF(D9="Peak",7,IF(D9="Base",3,"")),FALSE))</f>
        <v/>
      </c>
      <c r="I9" s="44" t="e">
        <f t="shared" si="2"/>
        <v>#N/A</v>
      </c>
      <c r="J9" s="44" t="e">
        <f t="shared" si="3"/>
        <v>#N/A</v>
      </c>
      <c r="K9" s="2"/>
      <c r="L9" s="2"/>
      <c r="M9" s="2"/>
      <c r="N9" s="2"/>
      <c r="O9" s="2"/>
      <c r="P9" s="2"/>
      <c r="Q9" s="2"/>
      <c r="R9" s="2"/>
    </row>
    <row r="10" spans="1:18" x14ac:dyDescent="0.25">
      <c r="A10" s="143"/>
      <c r="B10" s="248"/>
      <c r="C10" s="128"/>
      <c r="D10" s="91"/>
      <c r="E10" s="90"/>
      <c r="F10" s="90"/>
      <c r="G10" s="293"/>
      <c r="H10" s="44" t="str">
        <f>IF(A10="","",VLOOKUP(A10,Vertriebsinfos!$A$13:$I$17,IF(D10="Peak",6,IF(D10="Base",2,"")),FALSE)+VLOOKUP(A10,Vertriebsinfos!$A$13:$I$17,IF(D10="Peak",7,IF(D10="Base",3,"")),FALSE))</f>
        <v/>
      </c>
      <c r="I10" s="44" t="e">
        <f t="shared" si="2"/>
        <v>#N/A</v>
      </c>
      <c r="J10" s="44" t="e">
        <f t="shared" si="3"/>
        <v>#N/A</v>
      </c>
      <c r="K10" s="2"/>
      <c r="L10" s="2"/>
      <c r="M10" s="2"/>
      <c r="N10" s="2"/>
      <c r="O10" s="2"/>
      <c r="P10" s="2"/>
      <c r="Q10" s="2"/>
      <c r="R10" s="2"/>
    </row>
    <row r="11" spans="1:18" x14ac:dyDescent="0.25">
      <c r="A11" s="143"/>
      <c r="B11" s="248"/>
      <c r="C11" s="128"/>
      <c r="D11" s="91"/>
      <c r="E11" s="90"/>
      <c r="F11" s="90"/>
      <c r="G11" s="293"/>
      <c r="H11" s="44" t="str">
        <f>IF(A11="","",VLOOKUP(A11,Vertriebsinfos!$A$13:$I$17,IF(D11="Peak",6,IF(D11="Base",2,"")),FALSE)+VLOOKUP(A11,Vertriebsinfos!$A$13:$I$17,IF(D11="Peak",7,IF(D11="Base",3,"")),FALSE))</f>
        <v/>
      </c>
      <c r="I11" s="44" t="e">
        <f t="shared" si="2"/>
        <v>#N/A</v>
      </c>
      <c r="J11" s="44" t="e">
        <f t="shared" si="3"/>
        <v>#N/A</v>
      </c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143"/>
      <c r="B12" s="248"/>
      <c r="C12" s="128"/>
      <c r="D12" s="91"/>
      <c r="E12" s="90"/>
      <c r="F12" s="90"/>
      <c r="G12" s="293"/>
      <c r="H12" s="44" t="str">
        <f>IF(A12="","",VLOOKUP(A12,Vertriebsinfos!$A$13:$I$17,IF(D12="Peak",6,IF(D12="Base",2,"")),FALSE)+VLOOKUP(A12,Vertriebsinfos!$A$13:$I$17,IF(D12="Peak",7,IF(D12="Base",3,"")),FALSE))</f>
        <v/>
      </c>
      <c r="I12" s="44" t="e">
        <f t="shared" ref="I12:I21" si="4">IF(OR(E12="",H12="",H12=0),NA(),IF(E12&lt;0,ROUND(H12-E12,2),ROUND(E12-H12,2)))</f>
        <v>#N/A</v>
      </c>
      <c r="J12" s="44" t="e">
        <f t="shared" ref="J12:J21" si="5">IF(F12="",NA(),IF(H12="",NA(),IF(F12&lt;0,H12-F12,F12-H12)))</f>
        <v>#N/A</v>
      </c>
      <c r="K12" s="2"/>
      <c r="L12" s="2"/>
      <c r="M12" s="2"/>
      <c r="N12" s="2"/>
      <c r="O12" s="2"/>
      <c r="P12" s="2"/>
      <c r="Q12" s="2"/>
      <c r="R12" s="2"/>
    </row>
    <row r="13" spans="1:18" s="309" customFormat="1" x14ac:dyDescent="0.25">
      <c r="A13" s="330" t="str">
        <f>IF(ROW()=13,"","FEHLER - Überschrift muss in Zeile 12 steshen, dank dir.")</f>
        <v/>
      </c>
      <c r="B13" s="325" t="s">
        <v>142</v>
      </c>
      <c r="C13" s="325"/>
      <c r="D13" s="326"/>
      <c r="E13" s="327"/>
      <c r="F13" s="327"/>
      <c r="G13" s="328"/>
      <c r="H13" s="44" t="str">
        <f>IF(A13="","",VLOOKUP(A13,Vertriebsinfos!$A$13:$I$17,IF(D13="Peak",6,IF(D13="Base",2,"")),FALSE)+VLOOKUP(A13,Vertriebsinfos!$A$13:$I$17,IF(D13="Peak",7,IF(D13="Base",3,"")),FALSE))</f>
        <v/>
      </c>
      <c r="I13" s="44" t="e">
        <f t="shared" si="4"/>
        <v>#N/A</v>
      </c>
      <c r="J13" s="44" t="e">
        <f t="shared" si="5"/>
        <v>#N/A</v>
      </c>
      <c r="K13" s="329"/>
      <c r="L13" s="329"/>
      <c r="M13" s="329"/>
      <c r="N13" s="329"/>
      <c r="O13" s="329"/>
      <c r="P13" s="329"/>
      <c r="Q13" s="329"/>
      <c r="R13" s="329"/>
    </row>
    <row r="14" spans="1:18" x14ac:dyDescent="0.25">
      <c r="A14" s="318"/>
      <c r="B14" s="319"/>
      <c r="C14" s="320"/>
      <c r="D14" s="321"/>
      <c r="E14" s="322"/>
      <c r="F14" s="322"/>
      <c r="G14" s="324"/>
      <c r="H14" s="44" t="str">
        <f>IF(A14="","",VLOOKUP(A14,Vertriebsinfos!$A$13:$I$17,IF(D14="Peak",6,IF(D14="Base",2,"")),FALSE)+VLOOKUP(A14,Vertriebsinfos!$A$13:$I$17,IF(D14="Peak",7,IF(D14="Base",3,"")),FALSE))</f>
        <v/>
      </c>
      <c r="I14" s="44" t="e">
        <f t="shared" si="4"/>
        <v>#N/A</v>
      </c>
      <c r="J14" s="44" t="e">
        <f t="shared" si="5"/>
        <v>#N/A</v>
      </c>
      <c r="K14" s="2"/>
      <c r="L14" s="2"/>
      <c r="M14" s="2"/>
      <c r="N14" s="2"/>
      <c r="O14" s="2"/>
      <c r="P14" s="2"/>
      <c r="Q14" s="2"/>
      <c r="R14" s="2"/>
    </row>
    <row r="15" spans="1:18" x14ac:dyDescent="0.25">
      <c r="A15" s="318"/>
      <c r="B15" s="319"/>
      <c r="C15" s="320"/>
      <c r="D15" s="321"/>
      <c r="E15" s="322"/>
      <c r="F15" s="322"/>
      <c r="G15" s="324"/>
      <c r="H15" s="44" t="str">
        <f>IF(A15="","",VLOOKUP(A15,Vertriebsinfos!$A$13:$I$17,IF(D15="Peak",6,IF(D15="Base",2,"")),FALSE)+VLOOKUP(A15,Vertriebsinfos!$A$13:$I$17,IF(D15="Peak",7,IF(D15="Base",3,"")),FALSE))</f>
        <v/>
      </c>
      <c r="I15" s="44" t="e">
        <f t="shared" si="4"/>
        <v>#N/A</v>
      </c>
      <c r="J15" s="44" t="e">
        <f t="shared" si="5"/>
        <v>#N/A</v>
      </c>
      <c r="K15" s="2"/>
      <c r="L15" s="2"/>
      <c r="M15" s="2"/>
      <c r="N15" s="2"/>
      <c r="O15" s="2"/>
      <c r="P15" s="2"/>
      <c r="Q15" s="2"/>
      <c r="R15" s="2"/>
    </row>
    <row r="16" spans="1:18" x14ac:dyDescent="0.25">
      <c r="A16" s="318"/>
      <c r="B16" s="319"/>
      <c r="C16" s="320"/>
      <c r="D16" s="321"/>
      <c r="E16" s="322"/>
      <c r="F16" s="322"/>
      <c r="G16" s="323"/>
      <c r="H16" s="44" t="str">
        <f>IF(A16="","",VLOOKUP(A16,Vertriebsinfos!$A$13:$I$17,IF(D16="Peak",6,IF(D16="Base",2,"")),FALSE)+VLOOKUP(A16,Vertriebsinfos!$A$13:$I$17,IF(D16="Peak",7,IF(D16="Base",3,"")),FALSE))</f>
        <v/>
      </c>
      <c r="I16" s="44" t="e">
        <f t="shared" si="4"/>
        <v>#N/A</v>
      </c>
      <c r="J16" s="44" t="e">
        <f t="shared" si="5"/>
        <v>#N/A</v>
      </c>
      <c r="K16" s="2"/>
      <c r="L16" s="2"/>
      <c r="M16" s="2"/>
      <c r="N16" s="2"/>
      <c r="O16" s="2"/>
      <c r="P16" s="2"/>
      <c r="Q16" s="2"/>
      <c r="R16" s="2"/>
    </row>
    <row r="17" spans="1:18" x14ac:dyDescent="0.25">
      <c r="A17" s="318"/>
      <c r="B17" s="319"/>
      <c r="C17" s="320"/>
      <c r="D17" s="321"/>
      <c r="E17" s="322"/>
      <c r="F17" s="322"/>
      <c r="G17" s="323"/>
      <c r="H17" s="44" t="str">
        <f>IF(A17="","",VLOOKUP(A17,Vertriebsinfos!$A$13:$I$17,IF(D17="Peak",6,IF(D17="Base",2,"")),FALSE)+VLOOKUP(A17,Vertriebsinfos!$A$13:$I$17,IF(D17="Peak",7,IF(D17="Base",3,"")),FALSE))</f>
        <v/>
      </c>
      <c r="I17" s="44" t="e">
        <f t="shared" si="4"/>
        <v>#N/A</v>
      </c>
      <c r="J17" s="44" t="e">
        <f t="shared" si="5"/>
        <v>#N/A</v>
      </c>
      <c r="K17" s="2"/>
      <c r="L17" s="2"/>
      <c r="M17" s="2"/>
      <c r="N17" s="2"/>
      <c r="O17" s="2"/>
      <c r="P17" s="2"/>
      <c r="Q17" s="2"/>
      <c r="R17" s="2"/>
    </row>
    <row r="18" spans="1:18" x14ac:dyDescent="0.25">
      <c r="A18" s="318"/>
      <c r="B18" s="319"/>
      <c r="C18" s="320"/>
      <c r="D18" s="321"/>
      <c r="E18" s="322"/>
      <c r="F18" s="322"/>
      <c r="G18" s="323"/>
      <c r="H18" s="44" t="str">
        <f>IF(A18="","",VLOOKUP(A18,Vertriebsinfos!$A$13:$I$17,IF(D18="Peak",6,IF(D18="Base",2,"")),FALSE)+VLOOKUP(A18,Vertriebsinfos!$A$13:$I$17,IF(D18="Peak",7,IF(D18="Base",3,"")),FALSE))</f>
        <v/>
      </c>
      <c r="I18" s="44" t="e">
        <f t="shared" si="4"/>
        <v>#N/A</v>
      </c>
      <c r="J18" s="44" t="e">
        <f t="shared" si="5"/>
        <v>#N/A</v>
      </c>
      <c r="K18" s="2"/>
      <c r="L18" s="2"/>
      <c r="M18" s="2"/>
      <c r="N18" s="2"/>
      <c r="O18" s="2"/>
      <c r="P18" s="2"/>
      <c r="Q18" s="2"/>
      <c r="R18" s="2"/>
    </row>
    <row r="19" spans="1:18" x14ac:dyDescent="0.25">
      <c r="A19" s="318"/>
      <c r="B19" s="319"/>
      <c r="C19" s="320"/>
      <c r="D19" s="321"/>
      <c r="E19" s="322"/>
      <c r="F19" s="322"/>
      <c r="G19" s="323"/>
      <c r="H19" s="44" t="str">
        <f>IF(A19="","",VLOOKUP(A19,Vertriebsinfos!$A$13:$I$17,IF(D19="Peak",6,IF(D19="Base",2,"")),FALSE)+VLOOKUP(A19,Vertriebsinfos!$A$13:$I$17,IF(D19="Peak",7,IF(D19="Base",3,"")),FALSE))</f>
        <v/>
      </c>
      <c r="I19" s="44" t="e">
        <f t="shared" si="4"/>
        <v>#N/A</v>
      </c>
      <c r="J19" s="44" t="e">
        <f t="shared" si="5"/>
        <v>#N/A</v>
      </c>
      <c r="K19" s="2"/>
      <c r="L19" s="2"/>
      <c r="M19" s="2"/>
      <c r="N19" s="2"/>
      <c r="O19" s="2"/>
      <c r="P19" s="2"/>
      <c r="Q19" s="2"/>
      <c r="R19" s="2"/>
    </row>
    <row r="20" spans="1:18" x14ac:dyDescent="0.25">
      <c r="A20" s="318"/>
      <c r="B20" s="319"/>
      <c r="C20" s="320"/>
      <c r="D20" s="321"/>
      <c r="E20" s="322"/>
      <c r="F20" s="322"/>
      <c r="G20" s="323"/>
      <c r="H20" s="44" t="str">
        <f>IF(A20="","",VLOOKUP(A20,Vertriebsinfos!$A$13:$I$17,IF(D20="Peak",6,IF(D20="Base",2,"")),FALSE)+VLOOKUP(A20,Vertriebsinfos!$A$13:$I$17,IF(D20="Peak",7,IF(D20="Base",3,"")),FALSE))</f>
        <v/>
      </c>
      <c r="I20" s="44" t="e">
        <f t="shared" si="4"/>
        <v>#N/A</v>
      </c>
      <c r="J20" s="44" t="e">
        <f t="shared" si="5"/>
        <v>#N/A</v>
      </c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s="318"/>
      <c r="B21" s="319"/>
      <c r="C21" s="320"/>
      <c r="D21" s="321"/>
      <c r="E21" s="322"/>
      <c r="F21" s="322"/>
      <c r="G21" s="323"/>
      <c r="H21" s="44" t="str">
        <f>IF(A21="","",VLOOKUP(A21,Vertriebsinfos!$A$13:$I$17,IF(D21="Peak",6,IF(D21="Base",2,"")),FALSE)+VLOOKUP(A21,Vertriebsinfos!$A$13:$I$17,IF(D21="Peak",7,IF(D21="Base",3,"")),FALSE))</f>
        <v/>
      </c>
      <c r="I21" s="44" t="e">
        <f t="shared" si="4"/>
        <v>#N/A</v>
      </c>
      <c r="J21" s="44" t="e">
        <f t="shared" si="5"/>
        <v>#N/A</v>
      </c>
      <c r="K21" s="2"/>
      <c r="L21" s="2"/>
      <c r="M21" s="2"/>
      <c r="N21" s="2"/>
      <c r="O21" s="2"/>
      <c r="P21" s="2"/>
      <c r="Q21" s="2"/>
      <c r="R21" s="2"/>
    </row>
  </sheetData>
  <autoFilter ref="A4:J21" xr:uid="{00000000-0001-0000-0200-000000000000}">
    <sortState xmlns:xlrd2="http://schemas.microsoft.com/office/spreadsheetml/2017/richdata2" ref="A5:J21">
      <sortCondition ref="A4:A21"/>
    </sortState>
  </autoFilter>
  <phoneticPr fontId="28" type="noConversion"/>
  <conditionalFormatting sqref="E5:E21">
    <cfRule type="expression" dxfId="8" priority="34">
      <formula>I5&gt;0</formula>
    </cfRule>
  </conditionalFormatting>
  <conditionalFormatting sqref="F2:G2 H3:H21">
    <cfRule type="expression" dxfId="7" priority="92">
      <formula>#REF!&lt;0</formula>
    </cfRule>
  </conditionalFormatting>
  <conditionalFormatting sqref="F4:G21">
    <cfRule type="expression" dxfId="6" priority="315">
      <formula>J4&lt;0</formula>
    </cfRule>
  </conditionalFormatting>
  <conditionalFormatting sqref="A2">
    <cfRule type="expression" dxfId="5" priority="392">
      <formula>J1&lt;0</formula>
    </cfRule>
  </conditionalFormatting>
  <conditionalFormatting sqref="H1">
    <cfRule type="expression" dxfId="4" priority="410">
      <formula>#REF!&lt;0</formula>
    </cfRule>
  </conditionalFormatting>
  <conditionalFormatting sqref="I5:J21">
    <cfRule type="expression" dxfId="3" priority="1">
      <formula>ISNA(I5)</formula>
    </cfRule>
  </conditionalFormatting>
  <conditionalFormatting sqref="F3:G3">
    <cfRule type="expression" dxfId="2" priority="411">
      <formula>#REF!&lt;0</formula>
    </cfRule>
  </conditionalFormatting>
  <conditionalFormatting sqref="H5:H21">
    <cfRule type="expression" dxfId="1" priority="412">
      <formula>G5&lt;0</formula>
    </cfRule>
  </conditionalFormatting>
  <conditionalFormatting sqref="G5:G21">
    <cfRule type="expression" dxfId="0" priority="413">
      <formula>AND($G5&lt;TODAY(),$G5&lt;&gt;"")</formula>
    </cfRule>
  </conditionalFormatting>
  <dataValidations count="1">
    <dataValidation type="list" allowBlank="1" showInputMessage="1" showErrorMessage="1" sqref="D5:D21" xr:uid="{874728C2-0D13-4307-8D3E-7F60440ECFD3}">
      <formula1>"Base,Peak"</formula1>
    </dataValidation>
  </dataValidations>
  <pageMargins left="0.7" right="0.7" top="0.78740157499999996" bottom="0.78740157499999996" header="0.3" footer="0.3"/>
  <pageSetup paperSize="9" orientation="portrait" horizontalDpi="1200" verticalDpi="1200" r:id="rId1"/>
  <customProperties>
    <customPr name="_pios_id" r:id="rId2"/>
    <customPr name="ID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2" tint="-9.9978637043366805E-2"/>
  </sheetPr>
  <dimension ref="A1:Q165"/>
  <sheetViews>
    <sheetView workbookViewId="0">
      <pane xSplit="2" ySplit="3" topLeftCell="C4" activePane="bottomRight" state="frozenSplit"/>
      <selection pane="topRight" activeCell="C1" sqref="C1"/>
      <selection pane="bottomLeft" activeCell="A3" sqref="A3"/>
      <selection pane="bottomRight" activeCell="E1" sqref="E1"/>
    </sheetView>
  </sheetViews>
  <sheetFormatPr baseColWidth="10" defaultRowHeight="15" x14ac:dyDescent="0.25"/>
  <cols>
    <col min="1" max="2" width="13.42578125" bestFit="1" customWidth="1"/>
    <col min="13" max="14" width="11.5703125" style="317"/>
    <col min="15" max="15" width="13.42578125" style="317" bestFit="1" customWidth="1"/>
    <col min="16" max="17" width="11.5703125" style="317"/>
  </cols>
  <sheetData>
    <row r="1" spans="1:12" ht="15.75" thickBot="1" x14ac:dyDescent="0.3">
      <c r="A1" s="42" t="s">
        <v>16</v>
      </c>
      <c r="E1" s="46"/>
      <c r="F1" s="46"/>
      <c r="L1" s="43"/>
    </row>
    <row r="2" spans="1:12" x14ac:dyDescent="0.25">
      <c r="B2" s="35"/>
      <c r="C2" s="36" t="s">
        <v>3</v>
      </c>
      <c r="D2" s="37"/>
      <c r="E2" s="38" t="s">
        <v>4</v>
      </c>
      <c r="F2" s="39"/>
      <c r="G2" s="40"/>
      <c r="H2" s="38" t="s">
        <v>5</v>
      </c>
      <c r="I2" s="39"/>
      <c r="J2" s="40"/>
      <c r="K2" s="36" t="s">
        <v>3</v>
      </c>
      <c r="L2" s="37"/>
    </row>
    <row r="3" spans="1:12" ht="15.75" thickBot="1" x14ac:dyDescent="0.3">
      <c r="B3" s="6" t="s">
        <v>6</v>
      </c>
      <c r="C3" s="7" t="s">
        <v>7</v>
      </c>
      <c r="D3" s="9" t="s">
        <v>8</v>
      </c>
      <c r="E3" s="7" t="s">
        <v>9</v>
      </c>
      <c r="F3" s="8" t="s">
        <v>10</v>
      </c>
      <c r="G3" s="9" t="s">
        <v>11</v>
      </c>
      <c r="H3" s="7" t="s">
        <v>9</v>
      </c>
      <c r="I3" s="8" t="s">
        <v>10</v>
      </c>
      <c r="J3" s="9" t="s">
        <v>11</v>
      </c>
      <c r="K3" s="7" t="s">
        <v>12</v>
      </c>
      <c r="L3" s="9" t="s">
        <v>13</v>
      </c>
    </row>
    <row r="4" spans="1:12" x14ac:dyDescent="0.25">
      <c r="A4" t="str">
        <f t="shared" ref="A4:A6" ca="1" si="0">IF(LEFT(B4,1)="Q",LEFT(B4,2)&amp;RIGHT(B4,2),IF(CELL("format",B4)="D3",TEXT(B4,"[$-409]MMM")&amp;"-"&amp;TEXT(B4,"JJ"),IF(LEFT(B4,1)="C",TEXT(RIGHT(B4,2)+2000,"####"))))</f>
        <v>Jan-25</v>
      </c>
      <c r="B4" s="10">
        <v>45658</v>
      </c>
      <c r="C4" s="80">
        <v>744</v>
      </c>
      <c r="D4" s="81">
        <v>276</v>
      </c>
      <c r="E4" s="80">
        <v>23</v>
      </c>
      <c r="F4" s="82">
        <v>4</v>
      </c>
      <c r="G4" s="81">
        <v>4</v>
      </c>
      <c r="H4" s="80">
        <v>1</v>
      </c>
      <c r="I4" s="82">
        <v>0</v>
      </c>
      <c r="J4" s="81">
        <v>0</v>
      </c>
      <c r="K4" s="80">
        <v>376</v>
      </c>
      <c r="L4" s="81">
        <v>368</v>
      </c>
    </row>
    <row r="5" spans="1:12" x14ac:dyDescent="0.25">
      <c r="A5" t="str">
        <f t="shared" ca="1" si="0"/>
        <v>Feb-25</v>
      </c>
      <c r="B5" s="11">
        <v>45689</v>
      </c>
      <c r="C5" s="74">
        <v>672</v>
      </c>
      <c r="D5" s="75">
        <v>240</v>
      </c>
      <c r="E5" s="74">
        <v>20</v>
      </c>
      <c r="F5" s="76">
        <v>4</v>
      </c>
      <c r="G5" s="75">
        <v>4</v>
      </c>
      <c r="H5" s="74">
        <v>0</v>
      </c>
      <c r="I5" s="76">
        <v>0</v>
      </c>
      <c r="J5" s="75">
        <v>0</v>
      </c>
      <c r="K5" s="74">
        <v>344</v>
      </c>
      <c r="L5" s="75">
        <v>328</v>
      </c>
    </row>
    <row r="6" spans="1:12" x14ac:dyDescent="0.25">
      <c r="A6" t="str">
        <f t="shared" ca="1" si="0"/>
        <v>Mar-25</v>
      </c>
      <c r="B6" s="11">
        <v>45717</v>
      </c>
      <c r="C6" s="74">
        <v>743</v>
      </c>
      <c r="D6" s="75">
        <v>252</v>
      </c>
      <c r="E6" s="74">
        <v>21</v>
      </c>
      <c r="F6" s="76">
        <v>5</v>
      </c>
      <c r="G6" s="75">
        <v>5</v>
      </c>
      <c r="H6" s="74">
        <v>0</v>
      </c>
      <c r="I6" s="76">
        <v>0</v>
      </c>
      <c r="J6" s="75">
        <v>0</v>
      </c>
      <c r="K6" s="74">
        <v>366</v>
      </c>
      <c r="L6" s="75">
        <v>377</v>
      </c>
    </row>
    <row r="7" spans="1:12" x14ac:dyDescent="0.25">
      <c r="A7" t="str">
        <f t="shared" ref="A7:A70" ca="1" si="1">IF(LEFT(B7,1)="Q",LEFT(B7,2)&amp;RIGHT(B7,2),IF(CELL("format",B7)="D3",TEXT(B7,"[$-409]MMM")&amp;"-"&amp;TEXT(B7,"JJ"),IF(LEFT(B7,1)="C",TEXT(RIGHT(B7,2)+2000,"####"))))</f>
        <v>Apr-25</v>
      </c>
      <c r="B7" s="11">
        <v>45748</v>
      </c>
      <c r="C7" s="74">
        <v>720</v>
      </c>
      <c r="D7" s="75">
        <v>264</v>
      </c>
      <c r="E7" s="74">
        <v>22</v>
      </c>
      <c r="F7" s="76">
        <v>4</v>
      </c>
      <c r="G7" s="75">
        <v>4</v>
      </c>
      <c r="H7" s="74">
        <v>1</v>
      </c>
      <c r="I7" s="76">
        <v>0</v>
      </c>
      <c r="J7" s="75">
        <v>0</v>
      </c>
      <c r="K7" s="74">
        <v>360</v>
      </c>
      <c r="L7" s="75">
        <v>360</v>
      </c>
    </row>
    <row r="8" spans="1:12" x14ac:dyDescent="0.25">
      <c r="A8" t="str">
        <f t="shared" ca="1" si="1"/>
        <v>May-25</v>
      </c>
      <c r="B8" s="11">
        <v>45778</v>
      </c>
      <c r="C8" s="74">
        <v>744</v>
      </c>
      <c r="D8" s="75">
        <v>264</v>
      </c>
      <c r="E8" s="74">
        <v>22</v>
      </c>
      <c r="F8" s="76">
        <v>5</v>
      </c>
      <c r="G8" s="75">
        <v>4</v>
      </c>
      <c r="H8" s="74">
        <v>2</v>
      </c>
      <c r="I8" s="76">
        <v>0</v>
      </c>
      <c r="J8" s="75">
        <v>0</v>
      </c>
      <c r="K8" s="74">
        <v>350</v>
      </c>
      <c r="L8" s="75">
        <v>394</v>
      </c>
    </row>
    <row r="9" spans="1:12" x14ac:dyDescent="0.25">
      <c r="A9" t="str">
        <f t="shared" ca="1" si="1"/>
        <v>Jun-25</v>
      </c>
      <c r="B9" s="11">
        <v>45809</v>
      </c>
      <c r="C9" s="74">
        <v>720</v>
      </c>
      <c r="D9" s="75">
        <v>252</v>
      </c>
      <c r="E9" s="74">
        <v>21</v>
      </c>
      <c r="F9" s="76">
        <v>4</v>
      </c>
      <c r="G9" s="75">
        <v>5</v>
      </c>
      <c r="H9" s="74">
        <v>1</v>
      </c>
      <c r="I9" s="76">
        <v>0</v>
      </c>
      <c r="J9" s="75">
        <v>0</v>
      </c>
      <c r="K9" s="74">
        <v>344</v>
      </c>
      <c r="L9" s="75">
        <v>376</v>
      </c>
    </row>
    <row r="10" spans="1:12" x14ac:dyDescent="0.25">
      <c r="A10" t="str">
        <f t="shared" ca="1" si="1"/>
        <v>Jul-25</v>
      </c>
      <c r="B10" s="11">
        <v>45839</v>
      </c>
      <c r="C10" s="74">
        <v>744</v>
      </c>
      <c r="D10" s="75">
        <v>276</v>
      </c>
      <c r="E10" s="74">
        <v>23</v>
      </c>
      <c r="F10" s="76">
        <v>4</v>
      </c>
      <c r="G10" s="75">
        <v>4</v>
      </c>
      <c r="H10" s="74">
        <v>0</v>
      </c>
      <c r="I10" s="76">
        <v>0</v>
      </c>
      <c r="J10" s="75">
        <v>0</v>
      </c>
      <c r="K10" s="74">
        <v>392</v>
      </c>
      <c r="L10" s="75">
        <v>352</v>
      </c>
    </row>
    <row r="11" spans="1:12" x14ac:dyDescent="0.25">
      <c r="A11" t="str">
        <f t="shared" ca="1" si="1"/>
        <v>Aug-25</v>
      </c>
      <c r="B11" s="11">
        <v>45870</v>
      </c>
      <c r="C11" s="74">
        <v>744</v>
      </c>
      <c r="D11" s="75">
        <v>252</v>
      </c>
      <c r="E11" s="74">
        <v>21</v>
      </c>
      <c r="F11" s="76">
        <v>5</v>
      </c>
      <c r="G11" s="75">
        <v>5</v>
      </c>
      <c r="H11" s="74">
        <v>0</v>
      </c>
      <c r="I11" s="76">
        <v>0</v>
      </c>
      <c r="J11" s="75">
        <v>0</v>
      </c>
      <c r="K11" s="74">
        <v>366</v>
      </c>
      <c r="L11" s="75">
        <v>378</v>
      </c>
    </row>
    <row r="12" spans="1:12" x14ac:dyDescent="0.25">
      <c r="A12" t="str">
        <f t="shared" ca="1" si="1"/>
        <v>Sep-25</v>
      </c>
      <c r="B12" s="11">
        <v>45901</v>
      </c>
      <c r="C12" s="74">
        <v>720</v>
      </c>
      <c r="D12" s="75">
        <v>264</v>
      </c>
      <c r="E12" s="74">
        <v>22</v>
      </c>
      <c r="F12" s="76">
        <v>4</v>
      </c>
      <c r="G12" s="75">
        <v>4</v>
      </c>
      <c r="H12" s="74">
        <v>0</v>
      </c>
      <c r="I12" s="76">
        <v>0</v>
      </c>
      <c r="J12" s="75">
        <v>0</v>
      </c>
      <c r="K12" s="74">
        <v>376</v>
      </c>
      <c r="L12" s="75">
        <v>344</v>
      </c>
    </row>
    <row r="13" spans="1:12" x14ac:dyDescent="0.25">
      <c r="A13" t="str">
        <f t="shared" ca="1" si="1"/>
        <v>Oct-25</v>
      </c>
      <c r="B13" s="11">
        <v>45931</v>
      </c>
      <c r="C13" s="74">
        <v>745</v>
      </c>
      <c r="D13" s="75">
        <v>276</v>
      </c>
      <c r="E13" s="74">
        <v>23</v>
      </c>
      <c r="F13" s="76">
        <v>4</v>
      </c>
      <c r="G13" s="75">
        <v>4</v>
      </c>
      <c r="H13" s="74">
        <v>0</v>
      </c>
      <c r="I13" s="76">
        <v>0</v>
      </c>
      <c r="J13" s="75">
        <v>0</v>
      </c>
      <c r="K13" s="74">
        <v>392</v>
      </c>
      <c r="L13" s="75">
        <v>353</v>
      </c>
    </row>
    <row r="14" spans="1:12" x14ac:dyDescent="0.25">
      <c r="A14" t="str">
        <f t="shared" ca="1" si="1"/>
        <v>Nov-25</v>
      </c>
      <c r="B14" s="11">
        <v>45962</v>
      </c>
      <c r="C14" s="74">
        <v>720</v>
      </c>
      <c r="D14" s="75">
        <v>240</v>
      </c>
      <c r="E14" s="74">
        <v>20</v>
      </c>
      <c r="F14" s="76">
        <v>5</v>
      </c>
      <c r="G14" s="75">
        <v>5</v>
      </c>
      <c r="H14" s="74">
        <v>0</v>
      </c>
      <c r="I14" s="76">
        <v>0</v>
      </c>
      <c r="J14" s="75">
        <v>0</v>
      </c>
      <c r="K14" s="74">
        <v>350</v>
      </c>
      <c r="L14" s="75">
        <v>370</v>
      </c>
    </row>
    <row r="15" spans="1:12" ht="15.75" thickBot="1" x14ac:dyDescent="0.3">
      <c r="A15" t="str">
        <f t="shared" ca="1" si="1"/>
        <v>Dec-25</v>
      </c>
      <c r="B15" s="12">
        <v>45992</v>
      </c>
      <c r="C15" s="77">
        <v>744</v>
      </c>
      <c r="D15" s="78">
        <v>276</v>
      </c>
      <c r="E15" s="77">
        <v>23</v>
      </c>
      <c r="F15" s="79">
        <v>4</v>
      </c>
      <c r="G15" s="78">
        <v>4</v>
      </c>
      <c r="H15" s="77">
        <v>2</v>
      </c>
      <c r="I15" s="79">
        <v>0</v>
      </c>
      <c r="J15" s="78">
        <v>0</v>
      </c>
      <c r="K15" s="77">
        <v>360</v>
      </c>
      <c r="L15" s="78">
        <v>384</v>
      </c>
    </row>
    <row r="16" spans="1:12" ht="15.75" thickBot="1" x14ac:dyDescent="0.3">
      <c r="A16" t="str">
        <f t="shared" ca="1" si="1"/>
        <v>2025</v>
      </c>
      <c r="B16" s="13" t="s">
        <v>17</v>
      </c>
      <c r="C16" s="14">
        <f t="shared" ref="C16:J16" si="2">SUM(C4:C15)</f>
        <v>8760</v>
      </c>
      <c r="D16" s="16">
        <f t="shared" si="2"/>
        <v>3132</v>
      </c>
      <c r="E16" s="14">
        <f t="shared" si="2"/>
        <v>261</v>
      </c>
      <c r="F16" s="15">
        <f t="shared" si="2"/>
        <v>52</v>
      </c>
      <c r="G16" s="16">
        <f t="shared" si="2"/>
        <v>52</v>
      </c>
      <c r="H16" s="14">
        <f t="shared" si="2"/>
        <v>7</v>
      </c>
      <c r="I16" s="15">
        <f t="shared" si="2"/>
        <v>0</v>
      </c>
      <c r="J16" s="16">
        <f t="shared" si="2"/>
        <v>0</v>
      </c>
      <c r="K16" s="14">
        <f>SUM(K4:K15)</f>
        <v>4376</v>
      </c>
      <c r="L16" s="16">
        <f>SUM(L4:L15)</f>
        <v>4384</v>
      </c>
    </row>
    <row r="17" spans="1:12" x14ac:dyDescent="0.25">
      <c r="A17" t="str">
        <f t="shared" ca="1" si="1"/>
        <v>Q125</v>
      </c>
      <c r="B17" s="17" t="s">
        <v>18</v>
      </c>
      <c r="C17" s="18">
        <f t="shared" ref="C17:L17" si="3">C4+C5+C6</f>
        <v>2159</v>
      </c>
      <c r="D17" s="20">
        <f t="shared" si="3"/>
        <v>768</v>
      </c>
      <c r="E17" s="18">
        <f t="shared" si="3"/>
        <v>64</v>
      </c>
      <c r="F17" s="19">
        <f t="shared" si="3"/>
        <v>13</v>
      </c>
      <c r="G17" s="20">
        <f t="shared" si="3"/>
        <v>13</v>
      </c>
      <c r="H17" s="18">
        <f t="shared" si="3"/>
        <v>1</v>
      </c>
      <c r="I17" s="19">
        <f t="shared" si="3"/>
        <v>0</v>
      </c>
      <c r="J17" s="20">
        <f t="shared" si="3"/>
        <v>0</v>
      </c>
      <c r="K17" s="18">
        <f t="shared" si="3"/>
        <v>1086</v>
      </c>
      <c r="L17" s="20">
        <f t="shared" si="3"/>
        <v>1073</v>
      </c>
    </row>
    <row r="18" spans="1:12" x14ac:dyDescent="0.25">
      <c r="A18" t="str">
        <f t="shared" ca="1" si="1"/>
        <v>Q225</v>
      </c>
      <c r="B18" s="21" t="s">
        <v>19</v>
      </c>
      <c r="C18" s="22">
        <f t="shared" ref="C18:L18" si="4">C7+C8+C9</f>
        <v>2184</v>
      </c>
      <c r="D18" s="33">
        <f t="shared" si="4"/>
        <v>780</v>
      </c>
      <c r="E18" s="24">
        <f t="shared" si="4"/>
        <v>65</v>
      </c>
      <c r="F18" s="25">
        <f t="shared" si="4"/>
        <v>13</v>
      </c>
      <c r="G18" s="23">
        <f t="shared" si="4"/>
        <v>13</v>
      </c>
      <c r="H18" s="24">
        <f t="shared" si="4"/>
        <v>4</v>
      </c>
      <c r="I18" s="25">
        <f t="shared" si="4"/>
        <v>0</v>
      </c>
      <c r="J18" s="23">
        <f t="shared" si="4"/>
        <v>0</v>
      </c>
      <c r="K18" s="22">
        <f t="shared" si="4"/>
        <v>1054</v>
      </c>
      <c r="L18" s="33">
        <f t="shared" si="4"/>
        <v>1130</v>
      </c>
    </row>
    <row r="19" spans="1:12" x14ac:dyDescent="0.25">
      <c r="A19" t="str">
        <f t="shared" ca="1" si="1"/>
        <v>Q325</v>
      </c>
      <c r="B19" s="21" t="s">
        <v>20</v>
      </c>
      <c r="C19" s="22">
        <f t="shared" ref="C19:L19" si="5">C10+C11+C12</f>
        <v>2208</v>
      </c>
      <c r="D19" s="33">
        <f t="shared" si="5"/>
        <v>792</v>
      </c>
      <c r="E19" s="24">
        <f t="shared" si="5"/>
        <v>66</v>
      </c>
      <c r="F19" s="25">
        <f t="shared" si="5"/>
        <v>13</v>
      </c>
      <c r="G19" s="23">
        <f t="shared" si="5"/>
        <v>13</v>
      </c>
      <c r="H19" s="24">
        <f t="shared" si="5"/>
        <v>0</v>
      </c>
      <c r="I19" s="25">
        <f t="shared" si="5"/>
        <v>0</v>
      </c>
      <c r="J19" s="23">
        <f t="shared" si="5"/>
        <v>0</v>
      </c>
      <c r="K19" s="22">
        <f t="shared" si="5"/>
        <v>1134</v>
      </c>
      <c r="L19" s="33">
        <f t="shared" si="5"/>
        <v>1074</v>
      </c>
    </row>
    <row r="20" spans="1:12" ht="15.75" thickBot="1" x14ac:dyDescent="0.3">
      <c r="A20" t="str">
        <f t="shared" ca="1" si="1"/>
        <v>Q425</v>
      </c>
      <c r="B20" s="26" t="s">
        <v>21</v>
      </c>
      <c r="C20" s="27">
        <f t="shared" ref="C20:L20" si="6">C13+C14+C15</f>
        <v>2209</v>
      </c>
      <c r="D20" s="34">
        <f t="shared" si="6"/>
        <v>792</v>
      </c>
      <c r="E20" s="29">
        <f t="shared" si="6"/>
        <v>66</v>
      </c>
      <c r="F20" s="30">
        <f t="shared" si="6"/>
        <v>13</v>
      </c>
      <c r="G20" s="28">
        <f t="shared" si="6"/>
        <v>13</v>
      </c>
      <c r="H20" s="29">
        <f t="shared" si="6"/>
        <v>2</v>
      </c>
      <c r="I20" s="30">
        <f t="shared" si="6"/>
        <v>0</v>
      </c>
      <c r="J20" s="28">
        <f t="shared" si="6"/>
        <v>0</v>
      </c>
      <c r="K20" s="27">
        <f t="shared" si="6"/>
        <v>1102</v>
      </c>
      <c r="L20" s="34">
        <f t="shared" si="6"/>
        <v>1107</v>
      </c>
    </row>
    <row r="21" spans="1:12" ht="15.75" thickBot="1" x14ac:dyDescent="0.3">
      <c r="A21" t="str">
        <f t="shared" ca="1" si="1"/>
        <v>Sum25-Sum25</v>
      </c>
      <c r="B21" s="31" t="s">
        <v>22</v>
      </c>
      <c r="C21" s="14">
        <f t="shared" ref="C21:L21" si="7">C18+C19</f>
        <v>4392</v>
      </c>
      <c r="D21" s="16">
        <f t="shared" si="7"/>
        <v>1572</v>
      </c>
      <c r="E21" s="14">
        <f t="shared" si="7"/>
        <v>131</v>
      </c>
      <c r="F21" s="15">
        <f t="shared" si="7"/>
        <v>26</v>
      </c>
      <c r="G21" s="16">
        <f t="shared" si="7"/>
        <v>26</v>
      </c>
      <c r="H21" s="14">
        <f t="shared" si="7"/>
        <v>4</v>
      </c>
      <c r="I21" s="15">
        <f t="shared" si="7"/>
        <v>0</v>
      </c>
      <c r="J21" s="16">
        <f t="shared" si="7"/>
        <v>0</v>
      </c>
      <c r="K21" s="14">
        <f t="shared" si="7"/>
        <v>2188</v>
      </c>
      <c r="L21" s="16">
        <f t="shared" si="7"/>
        <v>2204</v>
      </c>
    </row>
    <row r="22" spans="1:12" x14ac:dyDescent="0.25">
      <c r="A22" t="str">
        <f t="shared" ca="1" si="1"/>
        <v>Jan-26</v>
      </c>
      <c r="B22" s="10">
        <v>46023</v>
      </c>
      <c r="C22" s="80">
        <v>744</v>
      </c>
      <c r="D22" s="81">
        <v>264</v>
      </c>
      <c r="E22" s="80">
        <v>22</v>
      </c>
      <c r="F22" s="82">
        <v>5</v>
      </c>
      <c r="G22" s="81">
        <v>4</v>
      </c>
      <c r="H22" s="80">
        <v>1</v>
      </c>
      <c r="I22" s="82">
        <v>0</v>
      </c>
      <c r="J22" s="81">
        <v>0</v>
      </c>
      <c r="K22" s="80">
        <v>366</v>
      </c>
      <c r="L22" s="81">
        <v>378</v>
      </c>
    </row>
    <row r="23" spans="1:12" x14ac:dyDescent="0.25">
      <c r="A23" t="str">
        <f t="shared" ca="1" si="1"/>
        <v>Feb-26</v>
      </c>
      <c r="B23" s="11">
        <v>46054</v>
      </c>
      <c r="C23" s="74">
        <v>672</v>
      </c>
      <c r="D23" s="75">
        <v>240</v>
      </c>
      <c r="E23" s="74">
        <v>20</v>
      </c>
      <c r="F23" s="76">
        <v>4</v>
      </c>
      <c r="G23" s="75">
        <v>4</v>
      </c>
      <c r="H23" s="74">
        <v>0</v>
      </c>
      <c r="I23" s="76">
        <v>0</v>
      </c>
      <c r="J23" s="75">
        <v>0</v>
      </c>
      <c r="K23" s="74">
        <v>344</v>
      </c>
      <c r="L23" s="75">
        <v>328</v>
      </c>
    </row>
    <row r="24" spans="1:12" x14ac:dyDescent="0.25">
      <c r="A24" t="str">
        <f t="shared" ca="1" si="1"/>
        <v>Mar-26</v>
      </c>
      <c r="B24" s="11">
        <v>46082</v>
      </c>
      <c r="C24" s="74">
        <v>743</v>
      </c>
      <c r="D24" s="75">
        <v>264</v>
      </c>
      <c r="E24" s="74">
        <v>22</v>
      </c>
      <c r="F24" s="76">
        <v>4</v>
      </c>
      <c r="G24" s="75">
        <v>5</v>
      </c>
      <c r="H24" s="74">
        <v>0</v>
      </c>
      <c r="I24" s="76">
        <v>0</v>
      </c>
      <c r="J24" s="75">
        <v>0</v>
      </c>
      <c r="K24" s="74">
        <v>376</v>
      </c>
      <c r="L24" s="75">
        <v>367</v>
      </c>
    </row>
    <row r="25" spans="1:12" x14ac:dyDescent="0.25">
      <c r="A25" t="str">
        <f t="shared" ca="1" si="1"/>
        <v>Apr-26</v>
      </c>
      <c r="B25" s="11">
        <v>46113</v>
      </c>
      <c r="C25" s="74">
        <v>720</v>
      </c>
      <c r="D25" s="75">
        <v>264</v>
      </c>
      <c r="E25" s="74">
        <v>22</v>
      </c>
      <c r="F25" s="76">
        <v>4</v>
      </c>
      <c r="G25" s="75">
        <v>4</v>
      </c>
      <c r="H25" s="74">
        <v>1</v>
      </c>
      <c r="I25" s="76">
        <v>0</v>
      </c>
      <c r="J25" s="75">
        <v>0</v>
      </c>
      <c r="K25" s="74">
        <v>360</v>
      </c>
      <c r="L25" s="75">
        <v>360</v>
      </c>
    </row>
    <row r="26" spans="1:12" x14ac:dyDescent="0.25">
      <c r="A26" t="str">
        <f t="shared" ca="1" si="1"/>
        <v>May-26</v>
      </c>
      <c r="B26" s="11">
        <v>46143</v>
      </c>
      <c r="C26" s="74">
        <v>744</v>
      </c>
      <c r="D26" s="75">
        <v>252</v>
      </c>
      <c r="E26" s="74">
        <v>21</v>
      </c>
      <c r="F26" s="76">
        <v>5</v>
      </c>
      <c r="G26" s="75">
        <v>5</v>
      </c>
      <c r="H26" s="74">
        <v>3</v>
      </c>
      <c r="I26" s="76">
        <v>0</v>
      </c>
      <c r="J26" s="75">
        <v>0</v>
      </c>
      <c r="K26" s="74">
        <v>318</v>
      </c>
      <c r="L26" s="75">
        <v>426</v>
      </c>
    </row>
    <row r="27" spans="1:12" x14ac:dyDescent="0.25">
      <c r="A27" t="str">
        <f t="shared" ca="1" si="1"/>
        <v>Jun-26</v>
      </c>
      <c r="B27" s="11">
        <v>46174</v>
      </c>
      <c r="C27" s="74">
        <v>720</v>
      </c>
      <c r="D27" s="75">
        <v>264</v>
      </c>
      <c r="E27" s="74">
        <v>22</v>
      </c>
      <c r="F27" s="76">
        <v>4</v>
      </c>
      <c r="G27" s="75">
        <v>4</v>
      </c>
      <c r="H27" s="74">
        <v>0</v>
      </c>
      <c r="I27" s="76">
        <v>0</v>
      </c>
      <c r="J27" s="75">
        <v>0</v>
      </c>
      <c r="K27" s="74">
        <v>376</v>
      </c>
      <c r="L27" s="75">
        <v>344</v>
      </c>
    </row>
    <row r="28" spans="1:12" x14ac:dyDescent="0.25">
      <c r="A28" t="str">
        <f t="shared" ca="1" si="1"/>
        <v>Jul-26</v>
      </c>
      <c r="B28" s="11">
        <v>46204</v>
      </c>
      <c r="C28" s="74">
        <v>744</v>
      </c>
      <c r="D28" s="75">
        <v>276</v>
      </c>
      <c r="E28" s="74">
        <v>23</v>
      </c>
      <c r="F28" s="76">
        <v>4</v>
      </c>
      <c r="G28" s="75">
        <v>4</v>
      </c>
      <c r="H28" s="74">
        <v>0</v>
      </c>
      <c r="I28" s="76">
        <v>0</v>
      </c>
      <c r="J28" s="75">
        <v>0</v>
      </c>
      <c r="K28" s="74">
        <v>392</v>
      </c>
      <c r="L28" s="75">
        <v>352</v>
      </c>
    </row>
    <row r="29" spans="1:12" x14ac:dyDescent="0.25">
      <c r="A29" t="str">
        <f t="shared" ca="1" si="1"/>
        <v>Aug-26</v>
      </c>
      <c r="B29" s="11">
        <v>46235</v>
      </c>
      <c r="C29" s="74">
        <v>744</v>
      </c>
      <c r="D29" s="75">
        <v>252</v>
      </c>
      <c r="E29" s="74">
        <v>21</v>
      </c>
      <c r="F29" s="76">
        <v>5</v>
      </c>
      <c r="G29" s="75">
        <v>5</v>
      </c>
      <c r="H29" s="74">
        <v>0</v>
      </c>
      <c r="I29" s="76">
        <v>0</v>
      </c>
      <c r="J29" s="75">
        <v>0</v>
      </c>
      <c r="K29" s="74">
        <v>366</v>
      </c>
      <c r="L29" s="75">
        <v>378</v>
      </c>
    </row>
    <row r="30" spans="1:12" x14ac:dyDescent="0.25">
      <c r="A30" t="str">
        <f t="shared" ca="1" si="1"/>
        <v>Sep-26</v>
      </c>
      <c r="B30" s="11">
        <v>46266</v>
      </c>
      <c r="C30" s="74">
        <v>720</v>
      </c>
      <c r="D30" s="75">
        <v>264</v>
      </c>
      <c r="E30" s="74">
        <v>22</v>
      </c>
      <c r="F30" s="76">
        <v>4</v>
      </c>
      <c r="G30" s="75">
        <v>4</v>
      </c>
      <c r="H30" s="74">
        <v>0</v>
      </c>
      <c r="I30" s="76">
        <v>0</v>
      </c>
      <c r="J30" s="75">
        <v>0</v>
      </c>
      <c r="K30" s="74">
        <v>376</v>
      </c>
      <c r="L30" s="75">
        <v>344</v>
      </c>
    </row>
    <row r="31" spans="1:12" x14ac:dyDescent="0.25">
      <c r="A31" t="str">
        <f t="shared" ca="1" si="1"/>
        <v>Oct-26</v>
      </c>
      <c r="B31" s="11">
        <v>46296</v>
      </c>
      <c r="C31" s="74">
        <v>745</v>
      </c>
      <c r="D31" s="75">
        <v>264</v>
      </c>
      <c r="E31" s="74">
        <v>22</v>
      </c>
      <c r="F31" s="76">
        <v>5</v>
      </c>
      <c r="G31" s="75">
        <v>4</v>
      </c>
      <c r="H31" s="74">
        <v>0</v>
      </c>
      <c r="I31" s="76">
        <v>0</v>
      </c>
      <c r="J31" s="75">
        <v>0</v>
      </c>
      <c r="K31" s="74">
        <v>382</v>
      </c>
      <c r="L31" s="75">
        <v>363</v>
      </c>
    </row>
    <row r="32" spans="1:12" x14ac:dyDescent="0.25">
      <c r="A32" t="str">
        <f t="shared" ca="1" si="1"/>
        <v>Nov-26</v>
      </c>
      <c r="B32" s="11">
        <v>46327</v>
      </c>
      <c r="C32" s="74">
        <v>720</v>
      </c>
      <c r="D32" s="75">
        <v>252</v>
      </c>
      <c r="E32" s="74">
        <v>21</v>
      </c>
      <c r="F32" s="76">
        <v>4</v>
      </c>
      <c r="G32" s="75">
        <v>5</v>
      </c>
      <c r="H32" s="74">
        <v>0</v>
      </c>
      <c r="I32" s="76">
        <v>0</v>
      </c>
      <c r="J32" s="75">
        <v>0</v>
      </c>
      <c r="K32" s="74">
        <v>360</v>
      </c>
      <c r="L32" s="75">
        <v>360</v>
      </c>
    </row>
    <row r="33" spans="1:12" ht="15.75" thickBot="1" x14ac:dyDescent="0.3">
      <c r="A33" t="str">
        <f t="shared" ca="1" si="1"/>
        <v>Dec-26</v>
      </c>
      <c r="B33" s="12">
        <v>46357</v>
      </c>
      <c r="C33" s="77">
        <v>744</v>
      </c>
      <c r="D33" s="78">
        <v>276</v>
      </c>
      <c r="E33" s="77">
        <v>23</v>
      </c>
      <c r="F33" s="79">
        <v>4</v>
      </c>
      <c r="G33" s="78">
        <v>4</v>
      </c>
      <c r="H33" s="77">
        <v>1</v>
      </c>
      <c r="I33" s="79">
        <v>1</v>
      </c>
      <c r="J33" s="78">
        <v>0</v>
      </c>
      <c r="K33" s="77">
        <v>370</v>
      </c>
      <c r="L33" s="78">
        <v>374</v>
      </c>
    </row>
    <row r="34" spans="1:12" ht="15.75" thickBot="1" x14ac:dyDescent="0.3">
      <c r="A34" t="str">
        <f t="shared" ca="1" si="1"/>
        <v>2026</v>
      </c>
      <c r="B34" s="13" t="s">
        <v>36</v>
      </c>
      <c r="C34" s="14">
        <f t="shared" ref="C34:J34" si="8">SUM(C22:C33)</f>
        <v>8760</v>
      </c>
      <c r="D34" s="16">
        <f t="shared" si="8"/>
        <v>3132</v>
      </c>
      <c r="E34" s="14">
        <f t="shared" si="8"/>
        <v>261</v>
      </c>
      <c r="F34" s="15">
        <f t="shared" si="8"/>
        <v>52</v>
      </c>
      <c r="G34" s="16">
        <f t="shared" si="8"/>
        <v>52</v>
      </c>
      <c r="H34" s="14">
        <f t="shared" si="8"/>
        <v>6</v>
      </c>
      <c r="I34" s="15">
        <f t="shared" si="8"/>
        <v>1</v>
      </c>
      <c r="J34" s="16">
        <f t="shared" si="8"/>
        <v>0</v>
      </c>
      <c r="K34" s="14">
        <f>SUM(K22:K33)</f>
        <v>4386</v>
      </c>
      <c r="L34" s="16">
        <f>SUM(L22:L33)</f>
        <v>4374</v>
      </c>
    </row>
    <row r="35" spans="1:12" x14ac:dyDescent="0.25">
      <c r="A35" t="str">
        <f t="shared" ca="1" si="1"/>
        <v>Q126</v>
      </c>
      <c r="B35" s="17" t="s">
        <v>37</v>
      </c>
      <c r="C35" s="18">
        <f t="shared" ref="C35:L35" si="9">C22+C23+C24</f>
        <v>2159</v>
      </c>
      <c r="D35" s="20">
        <f t="shared" si="9"/>
        <v>768</v>
      </c>
      <c r="E35" s="18">
        <f t="shared" si="9"/>
        <v>64</v>
      </c>
      <c r="F35" s="19">
        <f t="shared" si="9"/>
        <v>13</v>
      </c>
      <c r="G35" s="20">
        <f t="shared" si="9"/>
        <v>13</v>
      </c>
      <c r="H35" s="18">
        <f t="shared" si="9"/>
        <v>1</v>
      </c>
      <c r="I35" s="19">
        <f t="shared" si="9"/>
        <v>0</v>
      </c>
      <c r="J35" s="20">
        <f t="shared" si="9"/>
        <v>0</v>
      </c>
      <c r="K35" s="18">
        <f t="shared" si="9"/>
        <v>1086</v>
      </c>
      <c r="L35" s="20">
        <f t="shared" si="9"/>
        <v>1073</v>
      </c>
    </row>
    <row r="36" spans="1:12" x14ac:dyDescent="0.25">
      <c r="A36" t="str">
        <f t="shared" ca="1" si="1"/>
        <v>Q226</v>
      </c>
      <c r="B36" s="21" t="s">
        <v>38</v>
      </c>
      <c r="C36" s="22">
        <f t="shared" ref="C36:L36" si="10">C25+C26+C27</f>
        <v>2184</v>
      </c>
      <c r="D36" s="33">
        <f t="shared" si="10"/>
        <v>780</v>
      </c>
      <c r="E36" s="24">
        <f t="shared" si="10"/>
        <v>65</v>
      </c>
      <c r="F36" s="25">
        <f t="shared" si="10"/>
        <v>13</v>
      </c>
      <c r="G36" s="23">
        <f t="shared" si="10"/>
        <v>13</v>
      </c>
      <c r="H36" s="24">
        <f t="shared" si="10"/>
        <v>4</v>
      </c>
      <c r="I36" s="25">
        <f t="shared" si="10"/>
        <v>0</v>
      </c>
      <c r="J36" s="23">
        <f t="shared" si="10"/>
        <v>0</v>
      </c>
      <c r="K36" s="22">
        <f t="shared" si="10"/>
        <v>1054</v>
      </c>
      <c r="L36" s="33">
        <f t="shared" si="10"/>
        <v>1130</v>
      </c>
    </row>
    <row r="37" spans="1:12" x14ac:dyDescent="0.25">
      <c r="A37" t="str">
        <f t="shared" ca="1" si="1"/>
        <v>Q326</v>
      </c>
      <c r="B37" s="21" t="s">
        <v>39</v>
      </c>
      <c r="C37" s="22">
        <f t="shared" ref="C37:L37" si="11">C28+C29+C30</f>
        <v>2208</v>
      </c>
      <c r="D37" s="33">
        <f t="shared" si="11"/>
        <v>792</v>
      </c>
      <c r="E37" s="24">
        <f t="shared" si="11"/>
        <v>66</v>
      </c>
      <c r="F37" s="25">
        <f t="shared" si="11"/>
        <v>13</v>
      </c>
      <c r="G37" s="23">
        <f t="shared" si="11"/>
        <v>13</v>
      </c>
      <c r="H37" s="24">
        <f t="shared" si="11"/>
        <v>0</v>
      </c>
      <c r="I37" s="25">
        <f t="shared" si="11"/>
        <v>0</v>
      </c>
      <c r="J37" s="23">
        <f t="shared" si="11"/>
        <v>0</v>
      </c>
      <c r="K37" s="22">
        <f t="shared" si="11"/>
        <v>1134</v>
      </c>
      <c r="L37" s="33">
        <f t="shared" si="11"/>
        <v>1074</v>
      </c>
    </row>
    <row r="38" spans="1:12" ht="15.75" thickBot="1" x14ac:dyDescent="0.3">
      <c r="A38" t="str">
        <f t="shared" ca="1" si="1"/>
        <v>Q426</v>
      </c>
      <c r="B38" s="26" t="s">
        <v>40</v>
      </c>
      <c r="C38" s="27">
        <f t="shared" ref="C38:L38" si="12">C31+C32+C33</f>
        <v>2209</v>
      </c>
      <c r="D38" s="34">
        <f t="shared" si="12"/>
        <v>792</v>
      </c>
      <c r="E38" s="29">
        <f t="shared" si="12"/>
        <v>66</v>
      </c>
      <c r="F38" s="30">
        <f t="shared" si="12"/>
        <v>13</v>
      </c>
      <c r="G38" s="28">
        <f t="shared" si="12"/>
        <v>13</v>
      </c>
      <c r="H38" s="29">
        <f t="shared" si="12"/>
        <v>1</v>
      </c>
      <c r="I38" s="30">
        <f t="shared" si="12"/>
        <v>1</v>
      </c>
      <c r="J38" s="28">
        <f t="shared" si="12"/>
        <v>0</v>
      </c>
      <c r="K38" s="27">
        <f t="shared" si="12"/>
        <v>1112</v>
      </c>
      <c r="L38" s="34">
        <f t="shared" si="12"/>
        <v>1097</v>
      </c>
    </row>
    <row r="39" spans="1:12" ht="15.75" thickBot="1" x14ac:dyDescent="0.3">
      <c r="A39" t="str">
        <f t="shared" ca="1" si="1"/>
        <v>Sum26-Sum26</v>
      </c>
      <c r="B39" s="31" t="s">
        <v>41</v>
      </c>
      <c r="C39" s="14">
        <f t="shared" ref="C39:L39" si="13">C36+C37</f>
        <v>4392</v>
      </c>
      <c r="D39" s="16">
        <f t="shared" si="13"/>
        <v>1572</v>
      </c>
      <c r="E39" s="14">
        <f t="shared" si="13"/>
        <v>131</v>
      </c>
      <c r="F39" s="15">
        <f t="shared" si="13"/>
        <v>26</v>
      </c>
      <c r="G39" s="16">
        <f t="shared" si="13"/>
        <v>26</v>
      </c>
      <c r="H39" s="14">
        <f t="shared" si="13"/>
        <v>4</v>
      </c>
      <c r="I39" s="15">
        <f t="shared" si="13"/>
        <v>0</v>
      </c>
      <c r="J39" s="16">
        <f t="shared" si="13"/>
        <v>0</v>
      </c>
      <c r="K39" s="14">
        <f t="shared" si="13"/>
        <v>2188</v>
      </c>
      <c r="L39" s="16">
        <f t="shared" si="13"/>
        <v>2204</v>
      </c>
    </row>
    <row r="40" spans="1:12" x14ac:dyDescent="0.25">
      <c r="A40" t="str">
        <f t="shared" ca="1" si="1"/>
        <v>Jan-27</v>
      </c>
      <c r="B40" s="10">
        <v>46388</v>
      </c>
      <c r="C40" s="80">
        <v>744</v>
      </c>
      <c r="D40" s="81">
        <v>252</v>
      </c>
      <c r="E40" s="80">
        <v>21</v>
      </c>
      <c r="F40" s="82">
        <v>5</v>
      </c>
      <c r="G40" s="81">
        <v>5</v>
      </c>
      <c r="H40" s="80">
        <v>1</v>
      </c>
      <c r="I40" s="82">
        <v>0</v>
      </c>
      <c r="J40" s="81">
        <v>0</v>
      </c>
      <c r="K40" s="80">
        <v>350</v>
      </c>
      <c r="L40" s="81">
        <v>394</v>
      </c>
    </row>
    <row r="41" spans="1:12" x14ac:dyDescent="0.25">
      <c r="A41" t="str">
        <f t="shared" ca="1" si="1"/>
        <v>Feb-27</v>
      </c>
      <c r="B41" s="11">
        <v>46419</v>
      </c>
      <c r="C41" s="74">
        <v>672</v>
      </c>
      <c r="D41" s="75">
        <v>240</v>
      </c>
      <c r="E41" s="74">
        <v>20</v>
      </c>
      <c r="F41" s="76">
        <v>4</v>
      </c>
      <c r="G41" s="75">
        <v>4</v>
      </c>
      <c r="H41" s="74">
        <v>0</v>
      </c>
      <c r="I41" s="76">
        <v>0</v>
      </c>
      <c r="J41" s="75">
        <v>0</v>
      </c>
      <c r="K41" s="74">
        <v>344</v>
      </c>
      <c r="L41" s="75">
        <v>328</v>
      </c>
    </row>
    <row r="42" spans="1:12" x14ac:dyDescent="0.25">
      <c r="A42" t="str">
        <f t="shared" ca="1" si="1"/>
        <v>Mar-27</v>
      </c>
      <c r="B42" s="11">
        <v>46447</v>
      </c>
      <c r="C42" s="74">
        <v>743</v>
      </c>
      <c r="D42" s="75">
        <v>276</v>
      </c>
      <c r="E42" s="74">
        <v>23</v>
      </c>
      <c r="F42" s="76">
        <v>4</v>
      </c>
      <c r="G42" s="75">
        <v>4</v>
      </c>
      <c r="H42" s="74">
        <v>1</v>
      </c>
      <c r="I42" s="76">
        <v>0</v>
      </c>
      <c r="J42" s="75">
        <v>0</v>
      </c>
      <c r="K42" s="74">
        <v>376</v>
      </c>
      <c r="L42" s="75">
        <v>367</v>
      </c>
    </row>
    <row r="43" spans="1:12" x14ac:dyDescent="0.25">
      <c r="A43" t="str">
        <f t="shared" ca="1" si="1"/>
        <v>Apr-27</v>
      </c>
      <c r="B43" s="11">
        <v>46478</v>
      </c>
      <c r="C43" s="74">
        <v>720</v>
      </c>
      <c r="D43" s="75">
        <v>264</v>
      </c>
      <c r="E43" s="74">
        <v>22</v>
      </c>
      <c r="F43" s="76">
        <v>4</v>
      </c>
      <c r="G43" s="75">
        <v>4</v>
      </c>
      <c r="H43" s="74">
        <v>0</v>
      </c>
      <c r="I43" s="76">
        <v>0</v>
      </c>
      <c r="J43" s="75">
        <v>0</v>
      </c>
      <c r="K43" s="74">
        <v>376</v>
      </c>
      <c r="L43" s="75">
        <v>344</v>
      </c>
    </row>
    <row r="44" spans="1:12" x14ac:dyDescent="0.25">
      <c r="A44" t="str">
        <f t="shared" ca="1" si="1"/>
        <v>May-27</v>
      </c>
      <c r="B44" s="11">
        <v>46508</v>
      </c>
      <c r="C44" s="74">
        <v>744</v>
      </c>
      <c r="D44" s="75">
        <v>252</v>
      </c>
      <c r="E44" s="74">
        <v>21</v>
      </c>
      <c r="F44" s="76">
        <v>5</v>
      </c>
      <c r="G44" s="75">
        <v>5</v>
      </c>
      <c r="H44" s="74">
        <v>2</v>
      </c>
      <c r="I44" s="76">
        <v>1</v>
      </c>
      <c r="J44" s="75">
        <v>0</v>
      </c>
      <c r="K44" s="74">
        <v>328</v>
      </c>
      <c r="L44" s="75">
        <v>416</v>
      </c>
    </row>
    <row r="45" spans="1:12" x14ac:dyDescent="0.25">
      <c r="A45" t="str">
        <f t="shared" ca="1" si="1"/>
        <v>Jun-27</v>
      </c>
      <c r="B45" s="11">
        <v>46539</v>
      </c>
      <c r="C45" s="74">
        <v>720</v>
      </c>
      <c r="D45" s="75">
        <v>264</v>
      </c>
      <c r="E45" s="74">
        <v>22</v>
      </c>
      <c r="F45" s="76">
        <v>4</v>
      </c>
      <c r="G45" s="75">
        <v>4</v>
      </c>
      <c r="H45" s="74">
        <v>0</v>
      </c>
      <c r="I45" s="76">
        <v>0</v>
      </c>
      <c r="J45" s="75">
        <v>0</v>
      </c>
      <c r="K45" s="74">
        <v>376</v>
      </c>
      <c r="L45" s="75">
        <v>344</v>
      </c>
    </row>
    <row r="46" spans="1:12" x14ac:dyDescent="0.25">
      <c r="A46" t="str">
        <f t="shared" ca="1" si="1"/>
        <v>Jul-27</v>
      </c>
      <c r="B46" s="11">
        <v>46569</v>
      </c>
      <c r="C46" s="74">
        <v>744</v>
      </c>
      <c r="D46" s="75">
        <v>264</v>
      </c>
      <c r="E46" s="74">
        <v>22</v>
      </c>
      <c r="F46" s="76">
        <v>5</v>
      </c>
      <c r="G46" s="75">
        <v>4</v>
      </c>
      <c r="H46" s="74">
        <v>0</v>
      </c>
      <c r="I46" s="76">
        <v>0</v>
      </c>
      <c r="J46" s="75">
        <v>0</v>
      </c>
      <c r="K46" s="74">
        <v>382</v>
      </c>
      <c r="L46" s="75">
        <v>362</v>
      </c>
    </row>
    <row r="47" spans="1:12" x14ac:dyDescent="0.25">
      <c r="A47" t="str">
        <f t="shared" ca="1" si="1"/>
        <v>Aug-27</v>
      </c>
      <c r="B47" s="11">
        <v>46600</v>
      </c>
      <c r="C47" s="74">
        <v>744</v>
      </c>
      <c r="D47" s="75">
        <v>264</v>
      </c>
      <c r="E47" s="74">
        <v>22</v>
      </c>
      <c r="F47" s="76">
        <v>4</v>
      </c>
      <c r="G47" s="75">
        <v>5</v>
      </c>
      <c r="H47" s="74">
        <v>0</v>
      </c>
      <c r="I47" s="76">
        <v>0</v>
      </c>
      <c r="J47" s="75">
        <v>0</v>
      </c>
      <c r="K47" s="74">
        <v>376</v>
      </c>
      <c r="L47" s="75">
        <v>368</v>
      </c>
    </row>
    <row r="48" spans="1:12" x14ac:dyDescent="0.25">
      <c r="A48" t="str">
        <f t="shared" ca="1" si="1"/>
        <v>Sep-27</v>
      </c>
      <c r="B48" s="11">
        <v>46631</v>
      </c>
      <c r="C48" s="74">
        <v>720</v>
      </c>
      <c r="D48" s="75">
        <v>264</v>
      </c>
      <c r="E48" s="74">
        <v>22</v>
      </c>
      <c r="F48" s="76">
        <v>4</v>
      </c>
      <c r="G48" s="75">
        <v>4</v>
      </c>
      <c r="H48" s="74">
        <v>0</v>
      </c>
      <c r="I48" s="76">
        <v>0</v>
      </c>
      <c r="J48" s="75">
        <v>0</v>
      </c>
      <c r="K48" s="74">
        <v>376</v>
      </c>
      <c r="L48" s="75">
        <v>344</v>
      </c>
    </row>
    <row r="49" spans="1:12" x14ac:dyDescent="0.25">
      <c r="A49" t="str">
        <f t="shared" ca="1" si="1"/>
        <v>Oct-27</v>
      </c>
      <c r="B49" s="11">
        <v>46661</v>
      </c>
      <c r="C49" s="74">
        <v>745</v>
      </c>
      <c r="D49" s="75">
        <v>252</v>
      </c>
      <c r="E49" s="74">
        <v>21</v>
      </c>
      <c r="F49" s="76">
        <v>5</v>
      </c>
      <c r="G49" s="75">
        <v>5</v>
      </c>
      <c r="H49" s="74">
        <v>0</v>
      </c>
      <c r="I49" s="76">
        <v>0</v>
      </c>
      <c r="J49" s="75">
        <v>0</v>
      </c>
      <c r="K49" s="74">
        <v>366</v>
      </c>
      <c r="L49" s="75">
        <v>379</v>
      </c>
    </row>
    <row r="50" spans="1:12" x14ac:dyDescent="0.25">
      <c r="A50" t="str">
        <f t="shared" ca="1" si="1"/>
        <v>Nov-27</v>
      </c>
      <c r="B50" s="11">
        <v>46692</v>
      </c>
      <c r="C50" s="74">
        <v>720</v>
      </c>
      <c r="D50" s="75">
        <v>264</v>
      </c>
      <c r="E50" s="74">
        <v>22</v>
      </c>
      <c r="F50" s="76">
        <v>4</v>
      </c>
      <c r="G50" s="75">
        <v>4</v>
      </c>
      <c r="H50" s="74">
        <v>0</v>
      </c>
      <c r="I50" s="76">
        <v>0</v>
      </c>
      <c r="J50" s="75">
        <v>0</v>
      </c>
      <c r="K50" s="74">
        <v>376</v>
      </c>
      <c r="L50" s="75">
        <v>344</v>
      </c>
    </row>
    <row r="51" spans="1:12" ht="15.75" thickBot="1" x14ac:dyDescent="0.3">
      <c r="A51" t="str">
        <f t="shared" ca="1" si="1"/>
        <v>Dec-27</v>
      </c>
      <c r="B51" s="12">
        <v>46722</v>
      </c>
      <c r="C51" s="77">
        <v>744</v>
      </c>
      <c r="D51" s="78">
        <v>276</v>
      </c>
      <c r="E51" s="77">
        <v>23</v>
      </c>
      <c r="F51" s="79">
        <v>4</v>
      </c>
      <c r="G51" s="78">
        <v>4</v>
      </c>
      <c r="H51" s="77">
        <v>0</v>
      </c>
      <c r="I51" s="79">
        <v>1</v>
      </c>
      <c r="J51" s="78">
        <v>1</v>
      </c>
      <c r="K51" s="77">
        <v>386</v>
      </c>
      <c r="L51" s="78">
        <v>358</v>
      </c>
    </row>
    <row r="52" spans="1:12" ht="15.75" thickBot="1" x14ac:dyDescent="0.3">
      <c r="A52" t="str">
        <f t="shared" ca="1" si="1"/>
        <v>2027</v>
      </c>
      <c r="B52" s="13" t="s">
        <v>42</v>
      </c>
      <c r="C52" s="14">
        <f t="shared" ref="C52:J52" si="14">SUM(C40:C51)</f>
        <v>8760</v>
      </c>
      <c r="D52" s="16">
        <f t="shared" si="14"/>
        <v>3132</v>
      </c>
      <c r="E52" s="14">
        <f t="shared" si="14"/>
        <v>261</v>
      </c>
      <c r="F52" s="15">
        <f t="shared" si="14"/>
        <v>52</v>
      </c>
      <c r="G52" s="16">
        <f t="shared" si="14"/>
        <v>52</v>
      </c>
      <c r="H52" s="14">
        <f t="shared" si="14"/>
        <v>4</v>
      </c>
      <c r="I52" s="15">
        <f t="shared" si="14"/>
        <v>2</v>
      </c>
      <c r="J52" s="16">
        <f t="shared" si="14"/>
        <v>1</v>
      </c>
      <c r="K52" s="14">
        <f>SUM(K40:K51)</f>
        <v>4412</v>
      </c>
      <c r="L52" s="16">
        <f>SUM(L40:L51)</f>
        <v>4348</v>
      </c>
    </row>
    <row r="53" spans="1:12" x14ac:dyDescent="0.25">
      <c r="A53" t="str">
        <f t="shared" ca="1" si="1"/>
        <v>Q127</v>
      </c>
      <c r="B53" s="17" t="s">
        <v>43</v>
      </c>
      <c r="C53" s="18">
        <f t="shared" ref="C53:L53" si="15">C40+C41+C42</f>
        <v>2159</v>
      </c>
      <c r="D53" s="20">
        <f t="shared" si="15"/>
        <v>768</v>
      </c>
      <c r="E53" s="18">
        <f t="shared" si="15"/>
        <v>64</v>
      </c>
      <c r="F53" s="19">
        <f t="shared" si="15"/>
        <v>13</v>
      </c>
      <c r="G53" s="20">
        <f t="shared" si="15"/>
        <v>13</v>
      </c>
      <c r="H53" s="18">
        <f t="shared" si="15"/>
        <v>2</v>
      </c>
      <c r="I53" s="19">
        <f t="shared" si="15"/>
        <v>0</v>
      </c>
      <c r="J53" s="20">
        <f t="shared" si="15"/>
        <v>0</v>
      </c>
      <c r="K53" s="18">
        <f t="shared" si="15"/>
        <v>1070</v>
      </c>
      <c r="L53" s="20">
        <f t="shared" si="15"/>
        <v>1089</v>
      </c>
    </row>
    <row r="54" spans="1:12" x14ac:dyDescent="0.25">
      <c r="A54" t="str">
        <f t="shared" ca="1" si="1"/>
        <v>Q227</v>
      </c>
      <c r="B54" s="21" t="s">
        <v>44</v>
      </c>
      <c r="C54" s="22">
        <f t="shared" ref="C54:L54" si="16">C43+C44+C45</f>
        <v>2184</v>
      </c>
      <c r="D54" s="33">
        <f t="shared" si="16"/>
        <v>780</v>
      </c>
      <c r="E54" s="24">
        <f t="shared" si="16"/>
        <v>65</v>
      </c>
      <c r="F54" s="25">
        <f t="shared" si="16"/>
        <v>13</v>
      </c>
      <c r="G54" s="23">
        <f t="shared" si="16"/>
        <v>13</v>
      </c>
      <c r="H54" s="24">
        <f t="shared" si="16"/>
        <v>2</v>
      </c>
      <c r="I54" s="25">
        <f t="shared" si="16"/>
        <v>1</v>
      </c>
      <c r="J54" s="23">
        <f t="shared" si="16"/>
        <v>0</v>
      </c>
      <c r="K54" s="22">
        <f t="shared" si="16"/>
        <v>1080</v>
      </c>
      <c r="L54" s="33">
        <f t="shared" si="16"/>
        <v>1104</v>
      </c>
    </row>
    <row r="55" spans="1:12" x14ac:dyDescent="0.25">
      <c r="A55" t="str">
        <f t="shared" ca="1" si="1"/>
        <v>Q327</v>
      </c>
      <c r="B55" s="21" t="s">
        <v>45</v>
      </c>
      <c r="C55" s="22">
        <f t="shared" ref="C55:L55" si="17">C46+C47+C48</f>
        <v>2208</v>
      </c>
      <c r="D55" s="33">
        <f t="shared" si="17"/>
        <v>792</v>
      </c>
      <c r="E55" s="24">
        <f t="shared" si="17"/>
        <v>66</v>
      </c>
      <c r="F55" s="25">
        <f t="shared" si="17"/>
        <v>13</v>
      </c>
      <c r="G55" s="23">
        <f t="shared" si="17"/>
        <v>13</v>
      </c>
      <c r="H55" s="24">
        <f t="shared" si="17"/>
        <v>0</v>
      </c>
      <c r="I55" s="25">
        <f t="shared" si="17"/>
        <v>0</v>
      </c>
      <c r="J55" s="23">
        <f t="shared" si="17"/>
        <v>0</v>
      </c>
      <c r="K55" s="22">
        <f t="shared" si="17"/>
        <v>1134</v>
      </c>
      <c r="L55" s="33">
        <f t="shared" si="17"/>
        <v>1074</v>
      </c>
    </row>
    <row r="56" spans="1:12" ht="15.75" thickBot="1" x14ac:dyDescent="0.3">
      <c r="A56" t="str">
        <f t="shared" ca="1" si="1"/>
        <v>Q427</v>
      </c>
      <c r="B56" s="26" t="s">
        <v>46</v>
      </c>
      <c r="C56" s="27">
        <f t="shared" ref="C56:L56" si="18">C49+C50+C51</f>
        <v>2209</v>
      </c>
      <c r="D56" s="34">
        <f t="shared" si="18"/>
        <v>792</v>
      </c>
      <c r="E56" s="29">
        <f t="shared" si="18"/>
        <v>66</v>
      </c>
      <c r="F56" s="30">
        <f t="shared" si="18"/>
        <v>13</v>
      </c>
      <c r="G56" s="28">
        <f t="shared" si="18"/>
        <v>13</v>
      </c>
      <c r="H56" s="29">
        <f t="shared" si="18"/>
        <v>0</v>
      </c>
      <c r="I56" s="30">
        <f t="shared" si="18"/>
        <v>1</v>
      </c>
      <c r="J56" s="28">
        <f t="shared" si="18"/>
        <v>1</v>
      </c>
      <c r="K56" s="27">
        <f t="shared" si="18"/>
        <v>1128</v>
      </c>
      <c r="L56" s="34">
        <f t="shared" si="18"/>
        <v>1081</v>
      </c>
    </row>
    <row r="57" spans="1:12" ht="15.75" thickBot="1" x14ac:dyDescent="0.3">
      <c r="A57" t="str">
        <f t="shared" ca="1" si="1"/>
        <v>Sum27-Sum27</v>
      </c>
      <c r="B57" s="31" t="s">
        <v>47</v>
      </c>
      <c r="C57" s="14">
        <f t="shared" ref="C57:L57" si="19">C54+C55</f>
        <v>4392</v>
      </c>
      <c r="D57" s="16">
        <f t="shared" si="19"/>
        <v>1572</v>
      </c>
      <c r="E57" s="14">
        <f t="shared" si="19"/>
        <v>131</v>
      </c>
      <c r="F57" s="15">
        <f t="shared" si="19"/>
        <v>26</v>
      </c>
      <c r="G57" s="16">
        <f t="shared" si="19"/>
        <v>26</v>
      </c>
      <c r="H57" s="14">
        <f t="shared" si="19"/>
        <v>2</v>
      </c>
      <c r="I57" s="15">
        <f t="shared" si="19"/>
        <v>1</v>
      </c>
      <c r="J57" s="16">
        <f t="shared" si="19"/>
        <v>0</v>
      </c>
      <c r="K57" s="14">
        <f t="shared" si="19"/>
        <v>2214</v>
      </c>
      <c r="L57" s="16">
        <f t="shared" si="19"/>
        <v>2178</v>
      </c>
    </row>
    <row r="58" spans="1:12" x14ac:dyDescent="0.25">
      <c r="A58" t="str">
        <f t="shared" ca="1" si="1"/>
        <v>Jan-28</v>
      </c>
      <c r="B58" s="10">
        <v>46753</v>
      </c>
      <c r="C58" s="80">
        <v>744</v>
      </c>
      <c r="D58" s="81">
        <v>252</v>
      </c>
      <c r="E58" s="80">
        <v>21</v>
      </c>
      <c r="F58" s="82">
        <v>5</v>
      </c>
      <c r="G58" s="81">
        <v>5</v>
      </c>
      <c r="H58" s="80">
        <v>0</v>
      </c>
      <c r="I58" s="82">
        <v>1</v>
      </c>
      <c r="J58" s="81">
        <v>0</v>
      </c>
      <c r="K58" s="80">
        <v>360</v>
      </c>
      <c r="L58" s="81">
        <v>384</v>
      </c>
    </row>
    <row r="59" spans="1:12" x14ac:dyDescent="0.25">
      <c r="A59" t="str">
        <f t="shared" ca="1" si="1"/>
        <v>Feb-28</v>
      </c>
      <c r="B59" s="11">
        <v>46784</v>
      </c>
      <c r="C59" s="74">
        <v>696</v>
      </c>
      <c r="D59" s="75">
        <v>252</v>
      </c>
      <c r="E59" s="74">
        <v>21</v>
      </c>
      <c r="F59" s="76">
        <v>4</v>
      </c>
      <c r="G59" s="75">
        <v>4</v>
      </c>
      <c r="H59" s="74">
        <v>0</v>
      </c>
      <c r="I59" s="76">
        <v>0</v>
      </c>
      <c r="J59" s="75">
        <v>0</v>
      </c>
      <c r="K59" s="74">
        <v>360</v>
      </c>
      <c r="L59" s="75">
        <v>336</v>
      </c>
    </row>
    <row r="60" spans="1:12" x14ac:dyDescent="0.25">
      <c r="A60" t="str">
        <f t="shared" ca="1" si="1"/>
        <v>Mar-28</v>
      </c>
      <c r="B60" s="11">
        <v>46813</v>
      </c>
      <c r="C60" s="74">
        <v>743</v>
      </c>
      <c r="D60" s="75">
        <v>276</v>
      </c>
      <c r="E60" s="74">
        <v>23</v>
      </c>
      <c r="F60" s="76">
        <v>4</v>
      </c>
      <c r="G60" s="75">
        <v>4</v>
      </c>
      <c r="H60" s="74">
        <v>0</v>
      </c>
      <c r="I60" s="76">
        <v>0</v>
      </c>
      <c r="J60" s="75">
        <v>0</v>
      </c>
      <c r="K60" s="74">
        <v>392</v>
      </c>
      <c r="L60" s="75">
        <v>351</v>
      </c>
    </row>
    <row r="61" spans="1:12" x14ac:dyDescent="0.25">
      <c r="A61" t="str">
        <f t="shared" ca="1" si="1"/>
        <v>Apr-28</v>
      </c>
      <c r="B61" s="11">
        <v>46844</v>
      </c>
      <c r="C61" s="74">
        <v>720</v>
      </c>
      <c r="D61" s="75">
        <v>240</v>
      </c>
      <c r="E61" s="74">
        <v>20</v>
      </c>
      <c r="F61" s="76">
        <v>5</v>
      </c>
      <c r="G61" s="75">
        <v>5</v>
      </c>
      <c r="H61" s="74">
        <v>1</v>
      </c>
      <c r="I61" s="76">
        <v>0</v>
      </c>
      <c r="J61" s="75">
        <v>0</v>
      </c>
      <c r="K61" s="74">
        <v>334</v>
      </c>
      <c r="L61" s="75">
        <v>386</v>
      </c>
    </row>
    <row r="62" spans="1:12" x14ac:dyDescent="0.25">
      <c r="A62" t="str">
        <f t="shared" ca="1" si="1"/>
        <v>May-28</v>
      </c>
      <c r="B62" s="11">
        <v>46874</v>
      </c>
      <c r="C62" s="74">
        <v>744</v>
      </c>
      <c r="D62" s="75">
        <v>276</v>
      </c>
      <c r="E62" s="74">
        <v>23</v>
      </c>
      <c r="F62" s="76">
        <v>4</v>
      </c>
      <c r="G62" s="75">
        <v>4</v>
      </c>
      <c r="H62" s="74">
        <v>2</v>
      </c>
      <c r="I62" s="76">
        <v>0</v>
      </c>
      <c r="J62" s="75">
        <v>0</v>
      </c>
      <c r="K62" s="74">
        <v>360</v>
      </c>
      <c r="L62" s="75">
        <v>384</v>
      </c>
    </row>
    <row r="63" spans="1:12" x14ac:dyDescent="0.25">
      <c r="A63" t="str">
        <f t="shared" ca="1" si="1"/>
        <v>Jun-28</v>
      </c>
      <c r="B63" s="11">
        <v>46905</v>
      </c>
      <c r="C63" s="74">
        <v>720</v>
      </c>
      <c r="D63" s="75">
        <v>264</v>
      </c>
      <c r="E63" s="74">
        <v>22</v>
      </c>
      <c r="F63" s="76">
        <v>4</v>
      </c>
      <c r="G63" s="75">
        <v>4</v>
      </c>
      <c r="H63" s="74">
        <v>1</v>
      </c>
      <c r="I63" s="76">
        <v>0</v>
      </c>
      <c r="J63" s="75">
        <v>0</v>
      </c>
      <c r="K63" s="74">
        <v>360</v>
      </c>
      <c r="L63" s="75">
        <v>360</v>
      </c>
    </row>
    <row r="64" spans="1:12" x14ac:dyDescent="0.25">
      <c r="A64" t="str">
        <f t="shared" ca="1" si="1"/>
        <v>Jul-28</v>
      </c>
      <c r="B64" s="11">
        <v>46935</v>
      </c>
      <c r="C64" s="74">
        <v>744</v>
      </c>
      <c r="D64" s="75">
        <v>252</v>
      </c>
      <c r="E64" s="74">
        <v>21</v>
      </c>
      <c r="F64" s="76">
        <v>5</v>
      </c>
      <c r="G64" s="75">
        <v>5</v>
      </c>
      <c r="H64" s="74">
        <v>0</v>
      </c>
      <c r="I64" s="76">
        <v>0</v>
      </c>
      <c r="J64" s="75">
        <v>0</v>
      </c>
      <c r="K64" s="74">
        <v>366</v>
      </c>
      <c r="L64" s="75">
        <v>378</v>
      </c>
    </row>
    <row r="65" spans="1:12" x14ac:dyDescent="0.25">
      <c r="A65" t="str">
        <f t="shared" ca="1" si="1"/>
        <v>Aug-28</v>
      </c>
      <c r="B65" s="11">
        <v>46966</v>
      </c>
      <c r="C65" s="74">
        <v>744</v>
      </c>
      <c r="D65" s="75">
        <v>276</v>
      </c>
      <c r="E65" s="74">
        <v>23</v>
      </c>
      <c r="F65" s="76">
        <v>4</v>
      </c>
      <c r="G65" s="75">
        <v>4</v>
      </c>
      <c r="H65" s="74">
        <v>0</v>
      </c>
      <c r="I65" s="76">
        <v>0</v>
      </c>
      <c r="J65" s="75">
        <v>0</v>
      </c>
      <c r="K65" s="74">
        <v>392</v>
      </c>
      <c r="L65" s="75">
        <v>352</v>
      </c>
    </row>
    <row r="66" spans="1:12" x14ac:dyDescent="0.25">
      <c r="A66" t="str">
        <f t="shared" ca="1" si="1"/>
        <v>Sep-28</v>
      </c>
      <c r="B66" s="11">
        <v>46997</v>
      </c>
      <c r="C66" s="74">
        <v>720</v>
      </c>
      <c r="D66" s="75">
        <v>252</v>
      </c>
      <c r="E66" s="74">
        <v>21</v>
      </c>
      <c r="F66" s="76">
        <v>5</v>
      </c>
      <c r="G66" s="75">
        <v>4</v>
      </c>
      <c r="H66" s="74">
        <v>0</v>
      </c>
      <c r="I66" s="76">
        <v>0</v>
      </c>
      <c r="J66" s="75">
        <v>0</v>
      </c>
      <c r="K66" s="74">
        <v>366</v>
      </c>
      <c r="L66" s="75">
        <v>354</v>
      </c>
    </row>
    <row r="67" spans="1:12" x14ac:dyDescent="0.25">
      <c r="A67" t="str">
        <f t="shared" ca="1" si="1"/>
        <v>Oct-28</v>
      </c>
      <c r="B67" s="11">
        <v>47027</v>
      </c>
      <c r="C67" s="74">
        <v>745</v>
      </c>
      <c r="D67" s="75">
        <v>264</v>
      </c>
      <c r="E67" s="74">
        <v>22</v>
      </c>
      <c r="F67" s="76">
        <v>4</v>
      </c>
      <c r="G67" s="75">
        <v>5</v>
      </c>
      <c r="H67" s="74">
        <v>0</v>
      </c>
      <c r="I67" s="76">
        <v>0</v>
      </c>
      <c r="J67" s="75">
        <v>0</v>
      </c>
      <c r="K67" s="74">
        <v>376</v>
      </c>
      <c r="L67" s="75">
        <v>369</v>
      </c>
    </row>
    <row r="68" spans="1:12" x14ac:dyDescent="0.25">
      <c r="A68" t="str">
        <f t="shared" ca="1" si="1"/>
        <v>Nov-28</v>
      </c>
      <c r="B68" s="11">
        <v>47058</v>
      </c>
      <c r="C68" s="74">
        <v>720</v>
      </c>
      <c r="D68" s="75">
        <v>264</v>
      </c>
      <c r="E68" s="74">
        <v>22</v>
      </c>
      <c r="F68" s="76">
        <v>4</v>
      </c>
      <c r="G68" s="75">
        <v>4</v>
      </c>
      <c r="H68" s="74">
        <v>0</v>
      </c>
      <c r="I68" s="76">
        <v>0</v>
      </c>
      <c r="J68" s="75">
        <v>0</v>
      </c>
      <c r="K68" s="74">
        <v>376</v>
      </c>
      <c r="L68" s="75">
        <v>344</v>
      </c>
    </row>
    <row r="69" spans="1:12" ht="15.75" thickBot="1" x14ac:dyDescent="0.3">
      <c r="A69" t="str">
        <f t="shared" ca="1" si="1"/>
        <v>Dec-28</v>
      </c>
      <c r="B69" s="12">
        <v>47088</v>
      </c>
      <c r="C69" s="77">
        <v>744</v>
      </c>
      <c r="D69" s="78">
        <v>252</v>
      </c>
      <c r="E69" s="77">
        <v>21</v>
      </c>
      <c r="F69" s="79">
        <v>5</v>
      </c>
      <c r="G69" s="78">
        <v>5</v>
      </c>
      <c r="H69" s="77">
        <v>2</v>
      </c>
      <c r="I69" s="79">
        <v>0</v>
      </c>
      <c r="J69" s="78">
        <v>0</v>
      </c>
      <c r="K69" s="77">
        <v>334</v>
      </c>
      <c r="L69" s="78">
        <v>410</v>
      </c>
    </row>
    <row r="70" spans="1:12" ht="15.75" thickBot="1" x14ac:dyDescent="0.3">
      <c r="A70" t="str">
        <f t="shared" ca="1" si="1"/>
        <v>2028</v>
      </c>
      <c r="B70" s="13" t="s">
        <v>48</v>
      </c>
      <c r="C70" s="14">
        <f t="shared" ref="C70:J70" si="20">SUM(C58:C69)</f>
        <v>8784</v>
      </c>
      <c r="D70" s="16">
        <f t="shared" si="20"/>
        <v>3120</v>
      </c>
      <c r="E70" s="14">
        <f t="shared" si="20"/>
        <v>260</v>
      </c>
      <c r="F70" s="15">
        <f t="shared" si="20"/>
        <v>53</v>
      </c>
      <c r="G70" s="16">
        <f t="shared" si="20"/>
        <v>53</v>
      </c>
      <c r="H70" s="14">
        <f t="shared" si="20"/>
        <v>6</v>
      </c>
      <c r="I70" s="15">
        <f t="shared" si="20"/>
        <v>1</v>
      </c>
      <c r="J70" s="16">
        <f t="shared" si="20"/>
        <v>0</v>
      </c>
      <c r="K70" s="14">
        <f>SUM(K58:K69)</f>
        <v>4376</v>
      </c>
      <c r="L70" s="16">
        <f>SUM(L58:L69)</f>
        <v>4408</v>
      </c>
    </row>
    <row r="71" spans="1:12" x14ac:dyDescent="0.25">
      <c r="A71" t="str">
        <f t="shared" ref="A71:A134" ca="1" si="21">IF(LEFT(B71,1)="Q",LEFT(B71,2)&amp;RIGHT(B71,2),IF(CELL("format",B71)="D3",TEXT(B71,"[$-409]MMM")&amp;"-"&amp;TEXT(B71,"JJ"),IF(LEFT(B71,1)="C",TEXT(RIGHT(B71,2)+2000,"####"))))</f>
        <v>Q128</v>
      </c>
      <c r="B71" s="17" t="s">
        <v>49</v>
      </c>
      <c r="C71" s="18">
        <f t="shared" ref="C71:L71" si="22">C58+C59+C60</f>
        <v>2183</v>
      </c>
      <c r="D71" s="20">
        <f t="shared" si="22"/>
        <v>780</v>
      </c>
      <c r="E71" s="18">
        <f t="shared" si="22"/>
        <v>65</v>
      </c>
      <c r="F71" s="19">
        <f t="shared" si="22"/>
        <v>13</v>
      </c>
      <c r="G71" s="20">
        <f t="shared" si="22"/>
        <v>13</v>
      </c>
      <c r="H71" s="18">
        <f t="shared" si="22"/>
        <v>0</v>
      </c>
      <c r="I71" s="19">
        <f t="shared" si="22"/>
        <v>1</v>
      </c>
      <c r="J71" s="20">
        <f t="shared" si="22"/>
        <v>0</v>
      </c>
      <c r="K71" s="18">
        <f t="shared" si="22"/>
        <v>1112</v>
      </c>
      <c r="L71" s="20">
        <f t="shared" si="22"/>
        <v>1071</v>
      </c>
    </row>
    <row r="72" spans="1:12" x14ac:dyDescent="0.25">
      <c r="A72" t="str">
        <f t="shared" ca="1" si="21"/>
        <v>Q228</v>
      </c>
      <c r="B72" s="21" t="s">
        <v>50</v>
      </c>
      <c r="C72" s="22">
        <f t="shared" ref="C72:L72" si="23">C61+C62+C63</f>
        <v>2184</v>
      </c>
      <c r="D72" s="33">
        <f t="shared" si="23"/>
        <v>780</v>
      </c>
      <c r="E72" s="24">
        <f t="shared" si="23"/>
        <v>65</v>
      </c>
      <c r="F72" s="25">
        <f t="shared" si="23"/>
        <v>13</v>
      </c>
      <c r="G72" s="23">
        <f t="shared" si="23"/>
        <v>13</v>
      </c>
      <c r="H72" s="24">
        <f t="shared" si="23"/>
        <v>4</v>
      </c>
      <c r="I72" s="25">
        <f t="shared" si="23"/>
        <v>0</v>
      </c>
      <c r="J72" s="23">
        <f t="shared" si="23"/>
        <v>0</v>
      </c>
      <c r="K72" s="22">
        <f t="shared" si="23"/>
        <v>1054</v>
      </c>
      <c r="L72" s="33">
        <f t="shared" si="23"/>
        <v>1130</v>
      </c>
    </row>
    <row r="73" spans="1:12" x14ac:dyDescent="0.25">
      <c r="A73" t="str">
        <f t="shared" ca="1" si="21"/>
        <v>Q328</v>
      </c>
      <c r="B73" s="21" t="s">
        <v>51</v>
      </c>
      <c r="C73" s="22">
        <f t="shared" ref="C73:L73" si="24">C64+C65+C66</f>
        <v>2208</v>
      </c>
      <c r="D73" s="33">
        <f t="shared" si="24"/>
        <v>780</v>
      </c>
      <c r="E73" s="24">
        <f t="shared" si="24"/>
        <v>65</v>
      </c>
      <c r="F73" s="25">
        <f t="shared" si="24"/>
        <v>14</v>
      </c>
      <c r="G73" s="23">
        <f t="shared" si="24"/>
        <v>13</v>
      </c>
      <c r="H73" s="24">
        <f t="shared" si="24"/>
        <v>0</v>
      </c>
      <c r="I73" s="25">
        <f t="shared" si="24"/>
        <v>0</v>
      </c>
      <c r="J73" s="23">
        <f t="shared" si="24"/>
        <v>0</v>
      </c>
      <c r="K73" s="22">
        <f t="shared" si="24"/>
        <v>1124</v>
      </c>
      <c r="L73" s="33">
        <f t="shared" si="24"/>
        <v>1084</v>
      </c>
    </row>
    <row r="74" spans="1:12" ht="15.75" thickBot="1" x14ac:dyDescent="0.3">
      <c r="A74" t="str">
        <f t="shared" ca="1" si="21"/>
        <v>Q428</v>
      </c>
      <c r="B74" s="26" t="s">
        <v>52</v>
      </c>
      <c r="C74" s="27">
        <f t="shared" ref="C74:L74" si="25">C67+C68+C69</f>
        <v>2209</v>
      </c>
      <c r="D74" s="34">
        <f t="shared" si="25"/>
        <v>780</v>
      </c>
      <c r="E74" s="29">
        <f t="shared" si="25"/>
        <v>65</v>
      </c>
      <c r="F74" s="30">
        <f t="shared" si="25"/>
        <v>13</v>
      </c>
      <c r="G74" s="28">
        <f t="shared" si="25"/>
        <v>14</v>
      </c>
      <c r="H74" s="29">
        <f t="shared" si="25"/>
        <v>2</v>
      </c>
      <c r="I74" s="30">
        <f t="shared" si="25"/>
        <v>0</v>
      </c>
      <c r="J74" s="28">
        <f t="shared" si="25"/>
        <v>0</v>
      </c>
      <c r="K74" s="27">
        <f t="shared" si="25"/>
        <v>1086</v>
      </c>
      <c r="L74" s="34">
        <f t="shared" si="25"/>
        <v>1123</v>
      </c>
    </row>
    <row r="75" spans="1:12" ht="15.75" thickBot="1" x14ac:dyDescent="0.3">
      <c r="A75" t="str">
        <f t="shared" ca="1" si="21"/>
        <v>Sum28-Sum28</v>
      </c>
      <c r="B75" s="31" t="s">
        <v>53</v>
      </c>
      <c r="C75" s="14">
        <f t="shared" ref="C75:L75" si="26">C72+C73</f>
        <v>4392</v>
      </c>
      <c r="D75" s="16">
        <f t="shared" si="26"/>
        <v>1560</v>
      </c>
      <c r="E75" s="14">
        <f t="shared" si="26"/>
        <v>130</v>
      </c>
      <c r="F75" s="15">
        <f t="shared" si="26"/>
        <v>27</v>
      </c>
      <c r="G75" s="16">
        <f t="shared" si="26"/>
        <v>26</v>
      </c>
      <c r="H75" s="14">
        <f t="shared" si="26"/>
        <v>4</v>
      </c>
      <c r="I75" s="15">
        <f t="shared" si="26"/>
        <v>0</v>
      </c>
      <c r="J75" s="16">
        <f t="shared" si="26"/>
        <v>0</v>
      </c>
      <c r="K75" s="14">
        <f t="shared" si="26"/>
        <v>2178</v>
      </c>
      <c r="L75" s="16">
        <f t="shared" si="26"/>
        <v>2214</v>
      </c>
    </row>
    <row r="76" spans="1:12" x14ac:dyDescent="0.25">
      <c r="A76" t="str">
        <f t="shared" ca="1" si="21"/>
        <v>Jan-29</v>
      </c>
      <c r="B76" s="10">
        <v>47119</v>
      </c>
      <c r="C76" s="80">
        <v>744</v>
      </c>
      <c r="D76" s="81">
        <v>276</v>
      </c>
      <c r="E76" s="80">
        <v>23</v>
      </c>
      <c r="F76" s="82">
        <v>4</v>
      </c>
      <c r="G76" s="81">
        <v>4</v>
      </c>
      <c r="H76" s="80">
        <v>1</v>
      </c>
      <c r="I76" s="82">
        <v>0</v>
      </c>
      <c r="J76" s="81">
        <v>0</v>
      </c>
      <c r="K76" s="80">
        <v>376</v>
      </c>
      <c r="L76" s="81">
        <v>368</v>
      </c>
    </row>
    <row r="77" spans="1:12" x14ac:dyDescent="0.25">
      <c r="A77" t="str">
        <f t="shared" ca="1" si="21"/>
        <v>Feb-29</v>
      </c>
      <c r="B77" s="11">
        <v>47150</v>
      </c>
      <c r="C77" s="74">
        <v>672</v>
      </c>
      <c r="D77" s="75">
        <v>240</v>
      </c>
      <c r="E77" s="74">
        <v>20</v>
      </c>
      <c r="F77" s="76">
        <v>4</v>
      </c>
      <c r="G77" s="75">
        <v>4</v>
      </c>
      <c r="H77" s="74">
        <v>0</v>
      </c>
      <c r="I77" s="76">
        <v>0</v>
      </c>
      <c r="J77" s="75">
        <v>0</v>
      </c>
      <c r="K77" s="74">
        <v>344</v>
      </c>
      <c r="L77" s="75">
        <v>328</v>
      </c>
    </row>
    <row r="78" spans="1:12" x14ac:dyDescent="0.25">
      <c r="A78" t="str">
        <f t="shared" ca="1" si="21"/>
        <v>Mar-29</v>
      </c>
      <c r="B78" s="11">
        <v>47178</v>
      </c>
      <c r="C78" s="74">
        <v>743</v>
      </c>
      <c r="D78" s="75">
        <v>264</v>
      </c>
      <c r="E78" s="74">
        <v>22</v>
      </c>
      <c r="F78" s="76">
        <v>5</v>
      </c>
      <c r="G78" s="75">
        <v>4</v>
      </c>
      <c r="H78" s="74">
        <v>0</v>
      </c>
      <c r="I78" s="76">
        <v>0</v>
      </c>
      <c r="J78" s="75">
        <v>0</v>
      </c>
      <c r="K78" s="74">
        <v>382</v>
      </c>
      <c r="L78" s="75">
        <v>361</v>
      </c>
    </row>
    <row r="79" spans="1:12" x14ac:dyDescent="0.25">
      <c r="A79" t="str">
        <f t="shared" ca="1" si="21"/>
        <v>Apr-29</v>
      </c>
      <c r="B79" s="11">
        <v>47209</v>
      </c>
      <c r="C79" s="74">
        <v>720</v>
      </c>
      <c r="D79" s="75">
        <v>252</v>
      </c>
      <c r="E79" s="74">
        <v>21</v>
      </c>
      <c r="F79" s="76">
        <v>4</v>
      </c>
      <c r="G79" s="75">
        <v>5</v>
      </c>
      <c r="H79" s="74">
        <v>1</v>
      </c>
      <c r="I79" s="76">
        <v>0</v>
      </c>
      <c r="J79" s="75">
        <v>0</v>
      </c>
      <c r="K79" s="74">
        <v>344</v>
      </c>
      <c r="L79" s="75">
        <v>376</v>
      </c>
    </row>
    <row r="80" spans="1:12" x14ac:dyDescent="0.25">
      <c r="A80" t="str">
        <f t="shared" ca="1" si="21"/>
        <v>May-29</v>
      </c>
      <c r="B80" s="11">
        <v>47239</v>
      </c>
      <c r="C80" s="74">
        <v>744</v>
      </c>
      <c r="D80" s="75">
        <v>276</v>
      </c>
      <c r="E80" s="74">
        <v>23</v>
      </c>
      <c r="F80" s="76">
        <v>4</v>
      </c>
      <c r="G80" s="75">
        <v>4</v>
      </c>
      <c r="H80" s="74">
        <v>3</v>
      </c>
      <c r="I80" s="76">
        <v>0</v>
      </c>
      <c r="J80" s="75">
        <v>0</v>
      </c>
      <c r="K80" s="74">
        <v>344</v>
      </c>
      <c r="L80" s="75">
        <v>400</v>
      </c>
    </row>
    <row r="81" spans="1:12" x14ac:dyDescent="0.25">
      <c r="A81" t="str">
        <f t="shared" ca="1" si="21"/>
        <v>Jun-29</v>
      </c>
      <c r="B81" s="11">
        <v>47270</v>
      </c>
      <c r="C81" s="74">
        <v>720</v>
      </c>
      <c r="D81" s="75">
        <v>252</v>
      </c>
      <c r="E81" s="74">
        <v>21</v>
      </c>
      <c r="F81" s="76">
        <v>5</v>
      </c>
      <c r="G81" s="75">
        <v>4</v>
      </c>
      <c r="H81" s="74">
        <v>0</v>
      </c>
      <c r="I81" s="76">
        <v>0</v>
      </c>
      <c r="J81" s="75">
        <v>0</v>
      </c>
      <c r="K81" s="74">
        <v>366</v>
      </c>
      <c r="L81" s="75">
        <v>354</v>
      </c>
    </row>
    <row r="82" spans="1:12" x14ac:dyDescent="0.25">
      <c r="A82" t="str">
        <f t="shared" ca="1" si="21"/>
        <v>Jul-29</v>
      </c>
      <c r="B82" s="11">
        <v>47300</v>
      </c>
      <c r="C82" s="74">
        <v>744</v>
      </c>
      <c r="D82" s="75">
        <v>264</v>
      </c>
      <c r="E82" s="74">
        <v>22</v>
      </c>
      <c r="F82" s="76">
        <v>4</v>
      </c>
      <c r="G82" s="75">
        <v>5</v>
      </c>
      <c r="H82" s="74">
        <v>0</v>
      </c>
      <c r="I82" s="76">
        <v>0</v>
      </c>
      <c r="J82" s="75">
        <v>0</v>
      </c>
      <c r="K82" s="74">
        <v>376</v>
      </c>
      <c r="L82" s="75">
        <v>368</v>
      </c>
    </row>
    <row r="83" spans="1:12" x14ac:dyDescent="0.25">
      <c r="A83" t="str">
        <f t="shared" ca="1" si="21"/>
        <v>Aug-29</v>
      </c>
      <c r="B83" s="11">
        <v>47331</v>
      </c>
      <c r="C83" s="74">
        <v>744</v>
      </c>
      <c r="D83" s="75">
        <v>276</v>
      </c>
      <c r="E83" s="74">
        <v>23</v>
      </c>
      <c r="F83" s="76">
        <v>4</v>
      </c>
      <c r="G83" s="75">
        <v>4</v>
      </c>
      <c r="H83" s="74">
        <v>0</v>
      </c>
      <c r="I83" s="76">
        <v>0</v>
      </c>
      <c r="J83" s="75">
        <v>0</v>
      </c>
      <c r="K83" s="74">
        <v>392</v>
      </c>
      <c r="L83" s="75">
        <v>352</v>
      </c>
    </row>
    <row r="84" spans="1:12" x14ac:dyDescent="0.25">
      <c r="A84" t="str">
        <f t="shared" ca="1" si="21"/>
        <v>Sep-29</v>
      </c>
      <c r="B84" s="11">
        <v>47362</v>
      </c>
      <c r="C84" s="74">
        <v>720</v>
      </c>
      <c r="D84" s="75">
        <v>240</v>
      </c>
      <c r="E84" s="74">
        <v>20</v>
      </c>
      <c r="F84" s="76">
        <v>5</v>
      </c>
      <c r="G84" s="75">
        <v>5</v>
      </c>
      <c r="H84" s="74">
        <v>0</v>
      </c>
      <c r="I84" s="76">
        <v>0</v>
      </c>
      <c r="J84" s="75">
        <v>0</v>
      </c>
      <c r="K84" s="74">
        <v>350</v>
      </c>
      <c r="L84" s="75">
        <v>370</v>
      </c>
    </row>
    <row r="85" spans="1:12" x14ac:dyDescent="0.25">
      <c r="A85" t="str">
        <f t="shared" ca="1" si="21"/>
        <v>Oct-29</v>
      </c>
      <c r="B85" s="11">
        <v>47392</v>
      </c>
      <c r="C85" s="74">
        <v>745</v>
      </c>
      <c r="D85" s="75">
        <v>276</v>
      </c>
      <c r="E85" s="74">
        <v>23</v>
      </c>
      <c r="F85" s="76">
        <v>4</v>
      </c>
      <c r="G85" s="75">
        <v>4</v>
      </c>
      <c r="H85" s="74">
        <v>0</v>
      </c>
      <c r="I85" s="76">
        <v>0</v>
      </c>
      <c r="J85" s="75">
        <v>0</v>
      </c>
      <c r="K85" s="74">
        <v>392</v>
      </c>
      <c r="L85" s="75">
        <v>353</v>
      </c>
    </row>
    <row r="86" spans="1:12" x14ac:dyDescent="0.25">
      <c r="A86" t="str">
        <f t="shared" ca="1" si="21"/>
        <v>Nov-29</v>
      </c>
      <c r="B86" s="11">
        <v>47423</v>
      </c>
      <c r="C86" s="74">
        <v>720</v>
      </c>
      <c r="D86" s="75">
        <v>264</v>
      </c>
      <c r="E86" s="74">
        <v>22</v>
      </c>
      <c r="F86" s="76">
        <v>4</v>
      </c>
      <c r="G86" s="75">
        <v>4</v>
      </c>
      <c r="H86" s="74">
        <v>0</v>
      </c>
      <c r="I86" s="76">
        <v>0</v>
      </c>
      <c r="J86" s="75">
        <v>0</v>
      </c>
      <c r="K86" s="74">
        <v>376</v>
      </c>
      <c r="L86" s="75">
        <v>344</v>
      </c>
    </row>
    <row r="87" spans="1:12" ht="15.75" thickBot="1" x14ac:dyDescent="0.3">
      <c r="A87" t="str">
        <f t="shared" ca="1" si="21"/>
        <v>Dec-29</v>
      </c>
      <c r="B87" s="12">
        <v>47453</v>
      </c>
      <c r="C87" s="77">
        <v>744</v>
      </c>
      <c r="D87" s="78">
        <v>252</v>
      </c>
      <c r="E87" s="77">
        <v>21</v>
      </c>
      <c r="F87" s="79">
        <v>5</v>
      </c>
      <c r="G87" s="78">
        <v>5</v>
      </c>
      <c r="H87" s="77">
        <v>2</v>
      </c>
      <c r="I87" s="79">
        <v>0</v>
      </c>
      <c r="J87" s="78">
        <v>0</v>
      </c>
      <c r="K87" s="77">
        <v>334</v>
      </c>
      <c r="L87" s="78">
        <v>410</v>
      </c>
    </row>
    <row r="88" spans="1:12" ht="15.75" thickBot="1" x14ac:dyDescent="0.3">
      <c r="A88" t="str">
        <f t="shared" ca="1" si="21"/>
        <v>2029</v>
      </c>
      <c r="B88" s="13" t="s">
        <v>54</v>
      </c>
      <c r="C88" s="14">
        <f t="shared" ref="C88:J88" si="27">SUM(C76:C87)</f>
        <v>8760</v>
      </c>
      <c r="D88" s="16">
        <f t="shared" si="27"/>
        <v>3132</v>
      </c>
      <c r="E88" s="14">
        <f t="shared" si="27"/>
        <v>261</v>
      </c>
      <c r="F88" s="15">
        <f t="shared" si="27"/>
        <v>52</v>
      </c>
      <c r="G88" s="16">
        <f t="shared" si="27"/>
        <v>52</v>
      </c>
      <c r="H88" s="14">
        <f t="shared" si="27"/>
        <v>7</v>
      </c>
      <c r="I88" s="15">
        <f t="shared" si="27"/>
        <v>0</v>
      </c>
      <c r="J88" s="16">
        <f t="shared" si="27"/>
        <v>0</v>
      </c>
      <c r="K88" s="14">
        <f>SUM(K76:K87)</f>
        <v>4376</v>
      </c>
      <c r="L88" s="16">
        <f>SUM(L76:L87)</f>
        <v>4384</v>
      </c>
    </row>
    <row r="89" spans="1:12" x14ac:dyDescent="0.25">
      <c r="A89" t="str">
        <f t="shared" ca="1" si="21"/>
        <v>Q129</v>
      </c>
      <c r="B89" s="17" t="s">
        <v>55</v>
      </c>
      <c r="C89" s="18">
        <f t="shared" ref="C89:L89" si="28">C76+C77+C78</f>
        <v>2159</v>
      </c>
      <c r="D89" s="20">
        <f t="shared" si="28"/>
        <v>780</v>
      </c>
      <c r="E89" s="18">
        <f t="shared" si="28"/>
        <v>65</v>
      </c>
      <c r="F89" s="19">
        <f t="shared" si="28"/>
        <v>13</v>
      </c>
      <c r="G89" s="20">
        <f t="shared" si="28"/>
        <v>12</v>
      </c>
      <c r="H89" s="18">
        <f t="shared" si="28"/>
        <v>1</v>
      </c>
      <c r="I89" s="19">
        <f t="shared" si="28"/>
        <v>0</v>
      </c>
      <c r="J89" s="20">
        <f t="shared" si="28"/>
        <v>0</v>
      </c>
      <c r="K89" s="18">
        <f t="shared" si="28"/>
        <v>1102</v>
      </c>
      <c r="L89" s="20">
        <f t="shared" si="28"/>
        <v>1057</v>
      </c>
    </row>
    <row r="90" spans="1:12" x14ac:dyDescent="0.25">
      <c r="A90" t="str">
        <f t="shared" ca="1" si="21"/>
        <v>Q229</v>
      </c>
      <c r="B90" s="21" t="s">
        <v>56</v>
      </c>
      <c r="C90" s="22">
        <f t="shared" ref="C90:L90" si="29">C79+C80+C81</f>
        <v>2184</v>
      </c>
      <c r="D90" s="33">
        <f t="shared" si="29"/>
        <v>780</v>
      </c>
      <c r="E90" s="24">
        <f t="shared" si="29"/>
        <v>65</v>
      </c>
      <c r="F90" s="25">
        <f t="shared" si="29"/>
        <v>13</v>
      </c>
      <c r="G90" s="23">
        <f t="shared" si="29"/>
        <v>13</v>
      </c>
      <c r="H90" s="24">
        <f t="shared" si="29"/>
        <v>4</v>
      </c>
      <c r="I90" s="25">
        <f t="shared" si="29"/>
        <v>0</v>
      </c>
      <c r="J90" s="23">
        <f t="shared" si="29"/>
        <v>0</v>
      </c>
      <c r="K90" s="22">
        <f t="shared" si="29"/>
        <v>1054</v>
      </c>
      <c r="L90" s="33">
        <f t="shared" si="29"/>
        <v>1130</v>
      </c>
    </row>
    <row r="91" spans="1:12" x14ac:dyDescent="0.25">
      <c r="A91" t="str">
        <f t="shared" ca="1" si="21"/>
        <v>Q329</v>
      </c>
      <c r="B91" s="21" t="s">
        <v>57</v>
      </c>
      <c r="C91" s="22">
        <f t="shared" ref="C91:L91" si="30">C82+C83+C84</f>
        <v>2208</v>
      </c>
      <c r="D91" s="33">
        <f t="shared" si="30"/>
        <v>780</v>
      </c>
      <c r="E91" s="24">
        <f t="shared" si="30"/>
        <v>65</v>
      </c>
      <c r="F91" s="25">
        <f t="shared" si="30"/>
        <v>13</v>
      </c>
      <c r="G91" s="23">
        <f t="shared" si="30"/>
        <v>14</v>
      </c>
      <c r="H91" s="24">
        <f t="shared" si="30"/>
        <v>0</v>
      </c>
      <c r="I91" s="25">
        <f t="shared" si="30"/>
        <v>0</v>
      </c>
      <c r="J91" s="23">
        <f t="shared" si="30"/>
        <v>0</v>
      </c>
      <c r="K91" s="22">
        <f t="shared" si="30"/>
        <v>1118</v>
      </c>
      <c r="L91" s="33">
        <f t="shared" si="30"/>
        <v>1090</v>
      </c>
    </row>
    <row r="92" spans="1:12" ht="15.75" thickBot="1" x14ac:dyDescent="0.3">
      <c r="A92" t="str">
        <f t="shared" ca="1" si="21"/>
        <v>Q429</v>
      </c>
      <c r="B92" s="26" t="s">
        <v>58</v>
      </c>
      <c r="C92" s="27">
        <f t="shared" ref="C92:L92" si="31">C85+C86+C87</f>
        <v>2209</v>
      </c>
      <c r="D92" s="34">
        <f t="shared" si="31"/>
        <v>792</v>
      </c>
      <c r="E92" s="29">
        <f t="shared" si="31"/>
        <v>66</v>
      </c>
      <c r="F92" s="30">
        <f t="shared" si="31"/>
        <v>13</v>
      </c>
      <c r="G92" s="28">
        <f t="shared" si="31"/>
        <v>13</v>
      </c>
      <c r="H92" s="29">
        <f t="shared" si="31"/>
        <v>2</v>
      </c>
      <c r="I92" s="30">
        <f t="shared" si="31"/>
        <v>0</v>
      </c>
      <c r="J92" s="28">
        <f t="shared" si="31"/>
        <v>0</v>
      </c>
      <c r="K92" s="27">
        <f t="shared" si="31"/>
        <v>1102</v>
      </c>
      <c r="L92" s="34">
        <f t="shared" si="31"/>
        <v>1107</v>
      </c>
    </row>
    <row r="93" spans="1:12" ht="15.75" thickBot="1" x14ac:dyDescent="0.3">
      <c r="A93" t="str">
        <f t="shared" ca="1" si="21"/>
        <v>Sum29-Sum29</v>
      </c>
      <c r="B93" s="31" t="s">
        <v>59</v>
      </c>
      <c r="C93" s="14">
        <f t="shared" ref="C93:L93" si="32">C90+C91</f>
        <v>4392</v>
      </c>
      <c r="D93" s="16">
        <f t="shared" si="32"/>
        <v>1560</v>
      </c>
      <c r="E93" s="14">
        <f t="shared" si="32"/>
        <v>130</v>
      </c>
      <c r="F93" s="15">
        <f t="shared" si="32"/>
        <v>26</v>
      </c>
      <c r="G93" s="16">
        <f t="shared" si="32"/>
        <v>27</v>
      </c>
      <c r="H93" s="14">
        <f t="shared" si="32"/>
        <v>4</v>
      </c>
      <c r="I93" s="15">
        <f t="shared" si="32"/>
        <v>0</v>
      </c>
      <c r="J93" s="16">
        <f t="shared" si="32"/>
        <v>0</v>
      </c>
      <c r="K93" s="14">
        <f t="shared" si="32"/>
        <v>2172</v>
      </c>
      <c r="L93" s="16">
        <f t="shared" si="32"/>
        <v>2220</v>
      </c>
    </row>
    <row r="94" spans="1:12" x14ac:dyDescent="0.25">
      <c r="A94" t="str">
        <f t="shared" ca="1" si="21"/>
        <v>Jan-30</v>
      </c>
      <c r="B94" s="10">
        <v>47484</v>
      </c>
      <c r="C94" s="80">
        <v>744</v>
      </c>
      <c r="D94" s="81">
        <v>276</v>
      </c>
      <c r="E94" s="80">
        <v>23</v>
      </c>
      <c r="F94" s="82">
        <v>4</v>
      </c>
      <c r="G94" s="81">
        <v>4</v>
      </c>
      <c r="H94" s="80">
        <v>1</v>
      </c>
      <c r="I94" s="82">
        <v>0</v>
      </c>
      <c r="J94" s="81">
        <v>0</v>
      </c>
      <c r="K94" s="80">
        <v>376</v>
      </c>
      <c r="L94" s="81">
        <v>368</v>
      </c>
    </row>
    <row r="95" spans="1:12" x14ac:dyDescent="0.25">
      <c r="A95" t="str">
        <f t="shared" ca="1" si="21"/>
        <v>Feb-30</v>
      </c>
      <c r="B95" s="11">
        <v>47515</v>
      </c>
      <c r="C95" s="74">
        <v>672</v>
      </c>
      <c r="D95" s="75">
        <v>240</v>
      </c>
      <c r="E95" s="74">
        <v>20</v>
      </c>
      <c r="F95" s="76">
        <v>4</v>
      </c>
      <c r="G95" s="75">
        <v>4</v>
      </c>
      <c r="H95" s="74">
        <v>0</v>
      </c>
      <c r="I95" s="76">
        <v>0</v>
      </c>
      <c r="J95" s="75">
        <v>0</v>
      </c>
      <c r="K95" s="74">
        <v>344</v>
      </c>
      <c r="L95" s="75">
        <v>328</v>
      </c>
    </row>
    <row r="96" spans="1:12" x14ac:dyDescent="0.25">
      <c r="A96" t="str">
        <f t="shared" ca="1" si="21"/>
        <v>Mar-30</v>
      </c>
      <c r="B96" s="11">
        <v>47543</v>
      </c>
      <c r="C96" s="74">
        <v>743</v>
      </c>
      <c r="D96" s="75">
        <v>252</v>
      </c>
      <c r="E96" s="74">
        <v>21</v>
      </c>
      <c r="F96" s="76">
        <v>5</v>
      </c>
      <c r="G96" s="75">
        <v>5</v>
      </c>
      <c r="H96" s="74">
        <v>0</v>
      </c>
      <c r="I96" s="76">
        <v>0</v>
      </c>
      <c r="J96" s="75">
        <v>0</v>
      </c>
      <c r="K96" s="74">
        <v>366</v>
      </c>
      <c r="L96" s="75">
        <v>377</v>
      </c>
    </row>
    <row r="97" spans="1:12" x14ac:dyDescent="0.25">
      <c r="A97" t="str">
        <f t="shared" ca="1" si="21"/>
        <v>Apr-30</v>
      </c>
      <c r="B97" s="11">
        <v>47574</v>
      </c>
      <c r="C97" s="74">
        <v>720</v>
      </c>
      <c r="D97" s="75">
        <v>264</v>
      </c>
      <c r="E97" s="74">
        <v>22</v>
      </c>
      <c r="F97" s="76">
        <v>4</v>
      </c>
      <c r="G97" s="75">
        <v>4</v>
      </c>
      <c r="H97" s="74">
        <v>1</v>
      </c>
      <c r="I97" s="76">
        <v>0</v>
      </c>
      <c r="J97" s="75">
        <v>0</v>
      </c>
      <c r="K97" s="74">
        <v>360</v>
      </c>
      <c r="L97" s="75">
        <v>360</v>
      </c>
    </row>
    <row r="98" spans="1:12" x14ac:dyDescent="0.25">
      <c r="A98" t="str">
        <f t="shared" ca="1" si="21"/>
        <v>May-30</v>
      </c>
      <c r="B98" s="11">
        <v>47604</v>
      </c>
      <c r="C98" s="74">
        <v>744</v>
      </c>
      <c r="D98" s="75">
        <v>276</v>
      </c>
      <c r="E98" s="74">
        <v>23</v>
      </c>
      <c r="F98" s="76">
        <v>4</v>
      </c>
      <c r="G98" s="75">
        <v>4</v>
      </c>
      <c r="H98" s="74">
        <v>2</v>
      </c>
      <c r="I98" s="76">
        <v>0</v>
      </c>
      <c r="J98" s="75">
        <v>0</v>
      </c>
      <c r="K98" s="74">
        <v>360</v>
      </c>
      <c r="L98" s="75">
        <v>384</v>
      </c>
    </row>
    <row r="99" spans="1:12" x14ac:dyDescent="0.25">
      <c r="A99" t="str">
        <f t="shared" ca="1" si="21"/>
        <v>Jun-30</v>
      </c>
      <c r="B99" s="11">
        <v>47635</v>
      </c>
      <c r="C99" s="74">
        <v>720</v>
      </c>
      <c r="D99" s="75">
        <v>240</v>
      </c>
      <c r="E99" s="74">
        <v>20</v>
      </c>
      <c r="F99" s="76">
        <v>5</v>
      </c>
      <c r="G99" s="75">
        <v>5</v>
      </c>
      <c r="H99" s="74">
        <v>1</v>
      </c>
      <c r="I99" s="76">
        <v>0</v>
      </c>
      <c r="J99" s="75">
        <v>0</v>
      </c>
      <c r="K99" s="74">
        <v>334</v>
      </c>
      <c r="L99" s="75">
        <v>386</v>
      </c>
    </row>
    <row r="100" spans="1:12" x14ac:dyDescent="0.25">
      <c r="A100" t="str">
        <f t="shared" ca="1" si="21"/>
        <v>Jul-30</v>
      </c>
      <c r="B100" s="11">
        <v>47665</v>
      </c>
      <c r="C100" s="74">
        <v>744</v>
      </c>
      <c r="D100" s="75">
        <v>276</v>
      </c>
      <c r="E100" s="74">
        <v>23</v>
      </c>
      <c r="F100" s="76">
        <v>4</v>
      </c>
      <c r="G100" s="75">
        <v>4</v>
      </c>
      <c r="H100" s="74">
        <v>0</v>
      </c>
      <c r="I100" s="76">
        <v>0</v>
      </c>
      <c r="J100" s="75">
        <v>0</v>
      </c>
      <c r="K100" s="74">
        <v>392</v>
      </c>
      <c r="L100" s="75">
        <v>352</v>
      </c>
    </row>
    <row r="101" spans="1:12" x14ac:dyDescent="0.25">
      <c r="A101" t="str">
        <f t="shared" ca="1" si="21"/>
        <v>Aug-30</v>
      </c>
      <c r="B101" s="11">
        <v>47696</v>
      </c>
      <c r="C101" s="74">
        <v>744</v>
      </c>
      <c r="D101" s="75">
        <v>264</v>
      </c>
      <c r="E101" s="74">
        <v>22</v>
      </c>
      <c r="F101" s="76">
        <v>5</v>
      </c>
      <c r="G101" s="75">
        <v>4</v>
      </c>
      <c r="H101" s="74">
        <v>0</v>
      </c>
      <c r="I101" s="76">
        <v>0</v>
      </c>
      <c r="J101" s="75">
        <v>0</v>
      </c>
      <c r="K101" s="74">
        <v>382</v>
      </c>
      <c r="L101" s="75">
        <v>362</v>
      </c>
    </row>
    <row r="102" spans="1:12" x14ac:dyDescent="0.25">
      <c r="A102" t="str">
        <f t="shared" ca="1" si="21"/>
        <v>Sep-30</v>
      </c>
      <c r="B102" s="11">
        <v>47727</v>
      </c>
      <c r="C102" s="74">
        <v>720</v>
      </c>
      <c r="D102" s="75">
        <v>252</v>
      </c>
      <c r="E102" s="74">
        <v>21</v>
      </c>
      <c r="F102" s="76">
        <v>4</v>
      </c>
      <c r="G102" s="75">
        <v>5</v>
      </c>
      <c r="H102" s="74">
        <v>0</v>
      </c>
      <c r="I102" s="76">
        <v>0</v>
      </c>
      <c r="J102" s="75">
        <v>0</v>
      </c>
      <c r="K102" s="74">
        <v>360</v>
      </c>
      <c r="L102" s="75">
        <v>360</v>
      </c>
    </row>
    <row r="103" spans="1:12" x14ac:dyDescent="0.25">
      <c r="A103" t="str">
        <f t="shared" ca="1" si="21"/>
        <v>Oct-30</v>
      </c>
      <c r="B103" s="11">
        <v>47757</v>
      </c>
      <c r="C103" s="74">
        <v>745</v>
      </c>
      <c r="D103" s="75">
        <v>276</v>
      </c>
      <c r="E103" s="74">
        <v>23</v>
      </c>
      <c r="F103" s="76">
        <v>4</v>
      </c>
      <c r="G103" s="75">
        <v>4</v>
      </c>
      <c r="H103" s="74">
        <v>0</v>
      </c>
      <c r="I103" s="76">
        <v>0</v>
      </c>
      <c r="J103" s="75">
        <v>0</v>
      </c>
      <c r="K103" s="74">
        <v>392</v>
      </c>
      <c r="L103" s="75">
        <v>353</v>
      </c>
    </row>
    <row r="104" spans="1:12" x14ac:dyDescent="0.25">
      <c r="A104" t="str">
        <f t="shared" ca="1" si="21"/>
        <v>Nov-30</v>
      </c>
      <c r="B104" s="11">
        <v>47788</v>
      </c>
      <c r="C104" s="74">
        <v>720</v>
      </c>
      <c r="D104" s="75">
        <v>252</v>
      </c>
      <c r="E104" s="74">
        <v>21</v>
      </c>
      <c r="F104" s="76">
        <v>5</v>
      </c>
      <c r="G104" s="75">
        <v>4</v>
      </c>
      <c r="H104" s="74">
        <v>0</v>
      </c>
      <c r="I104" s="76">
        <v>0</v>
      </c>
      <c r="J104" s="75">
        <v>0</v>
      </c>
      <c r="K104" s="74">
        <v>366</v>
      </c>
      <c r="L104" s="75">
        <v>354</v>
      </c>
    </row>
    <row r="105" spans="1:12" ht="15.75" thickBot="1" x14ac:dyDescent="0.3">
      <c r="A105" t="str">
        <f t="shared" ca="1" si="21"/>
        <v>Dec-30</v>
      </c>
      <c r="B105" s="12">
        <v>47818</v>
      </c>
      <c r="C105" s="77">
        <v>744</v>
      </c>
      <c r="D105" s="78">
        <v>264</v>
      </c>
      <c r="E105" s="77">
        <v>22</v>
      </c>
      <c r="F105" s="79">
        <v>4</v>
      </c>
      <c r="G105" s="78">
        <v>5</v>
      </c>
      <c r="H105" s="77">
        <v>2</v>
      </c>
      <c r="I105" s="79">
        <v>0</v>
      </c>
      <c r="J105" s="78">
        <v>0</v>
      </c>
      <c r="K105" s="77">
        <v>344</v>
      </c>
      <c r="L105" s="78">
        <v>400</v>
      </c>
    </row>
    <row r="106" spans="1:12" ht="15.75" thickBot="1" x14ac:dyDescent="0.3">
      <c r="A106" t="str">
        <f t="shared" ca="1" si="21"/>
        <v>2030</v>
      </c>
      <c r="B106" s="13" t="s">
        <v>107</v>
      </c>
      <c r="C106" s="14">
        <f t="shared" ref="C106:J106" si="33">SUM(C94:C105)</f>
        <v>8760</v>
      </c>
      <c r="D106" s="16">
        <f t="shared" si="33"/>
        <v>3132</v>
      </c>
      <c r="E106" s="14">
        <f t="shared" si="33"/>
        <v>261</v>
      </c>
      <c r="F106" s="15">
        <f t="shared" si="33"/>
        <v>52</v>
      </c>
      <c r="G106" s="16">
        <f t="shared" si="33"/>
        <v>52</v>
      </c>
      <c r="H106" s="14">
        <f t="shared" si="33"/>
        <v>7</v>
      </c>
      <c r="I106" s="15">
        <f t="shared" si="33"/>
        <v>0</v>
      </c>
      <c r="J106" s="16">
        <f t="shared" si="33"/>
        <v>0</v>
      </c>
      <c r="K106" s="14">
        <f>SUM(K94:K105)</f>
        <v>4376</v>
      </c>
      <c r="L106" s="16">
        <f>SUM(L94:L105)</f>
        <v>4384</v>
      </c>
    </row>
    <row r="107" spans="1:12" x14ac:dyDescent="0.25">
      <c r="A107" t="str">
        <f t="shared" ca="1" si="21"/>
        <v>Q130</v>
      </c>
      <c r="B107" s="17" t="s">
        <v>108</v>
      </c>
      <c r="C107" s="18">
        <f t="shared" ref="C107:L107" si="34">C94+C95+C96</f>
        <v>2159</v>
      </c>
      <c r="D107" s="20">
        <f t="shared" si="34"/>
        <v>768</v>
      </c>
      <c r="E107" s="18">
        <f t="shared" si="34"/>
        <v>64</v>
      </c>
      <c r="F107" s="19">
        <f t="shared" si="34"/>
        <v>13</v>
      </c>
      <c r="G107" s="20">
        <f t="shared" si="34"/>
        <v>13</v>
      </c>
      <c r="H107" s="18">
        <f t="shared" si="34"/>
        <v>1</v>
      </c>
      <c r="I107" s="19">
        <f t="shared" si="34"/>
        <v>0</v>
      </c>
      <c r="J107" s="20">
        <f t="shared" si="34"/>
        <v>0</v>
      </c>
      <c r="K107" s="18">
        <f t="shared" si="34"/>
        <v>1086</v>
      </c>
      <c r="L107" s="20">
        <f t="shared" si="34"/>
        <v>1073</v>
      </c>
    </row>
    <row r="108" spans="1:12" x14ac:dyDescent="0.25">
      <c r="A108" t="str">
        <f t="shared" ca="1" si="21"/>
        <v>Q230</v>
      </c>
      <c r="B108" s="21" t="s">
        <v>109</v>
      </c>
      <c r="C108" s="22">
        <f t="shared" ref="C108:L108" si="35">C97+C98+C99</f>
        <v>2184</v>
      </c>
      <c r="D108" s="33">
        <f t="shared" si="35"/>
        <v>780</v>
      </c>
      <c r="E108" s="24">
        <f t="shared" si="35"/>
        <v>65</v>
      </c>
      <c r="F108" s="25">
        <f t="shared" si="35"/>
        <v>13</v>
      </c>
      <c r="G108" s="23">
        <f t="shared" si="35"/>
        <v>13</v>
      </c>
      <c r="H108" s="24">
        <f t="shared" si="35"/>
        <v>4</v>
      </c>
      <c r="I108" s="25">
        <f t="shared" si="35"/>
        <v>0</v>
      </c>
      <c r="J108" s="23">
        <f t="shared" si="35"/>
        <v>0</v>
      </c>
      <c r="K108" s="22">
        <f t="shared" si="35"/>
        <v>1054</v>
      </c>
      <c r="L108" s="33">
        <f t="shared" si="35"/>
        <v>1130</v>
      </c>
    </row>
    <row r="109" spans="1:12" x14ac:dyDescent="0.25">
      <c r="A109" t="str">
        <f t="shared" ca="1" si="21"/>
        <v>Q330</v>
      </c>
      <c r="B109" s="21" t="s">
        <v>110</v>
      </c>
      <c r="C109" s="22">
        <f t="shared" ref="C109:L109" si="36">C100+C101+C102</f>
        <v>2208</v>
      </c>
      <c r="D109" s="33">
        <f t="shared" si="36"/>
        <v>792</v>
      </c>
      <c r="E109" s="24">
        <f t="shared" si="36"/>
        <v>66</v>
      </c>
      <c r="F109" s="25">
        <f t="shared" si="36"/>
        <v>13</v>
      </c>
      <c r="G109" s="23">
        <f t="shared" si="36"/>
        <v>13</v>
      </c>
      <c r="H109" s="24">
        <f t="shared" si="36"/>
        <v>0</v>
      </c>
      <c r="I109" s="25">
        <f t="shared" si="36"/>
        <v>0</v>
      </c>
      <c r="J109" s="23">
        <f t="shared" si="36"/>
        <v>0</v>
      </c>
      <c r="K109" s="22">
        <f t="shared" si="36"/>
        <v>1134</v>
      </c>
      <c r="L109" s="33">
        <f t="shared" si="36"/>
        <v>1074</v>
      </c>
    </row>
    <row r="110" spans="1:12" ht="15.75" thickBot="1" x14ac:dyDescent="0.3">
      <c r="A110" t="str">
        <f t="shared" ca="1" si="21"/>
        <v>Q430</v>
      </c>
      <c r="B110" s="26" t="s">
        <v>111</v>
      </c>
      <c r="C110" s="27">
        <f t="shared" ref="C110:L110" si="37">C103+C104+C105</f>
        <v>2209</v>
      </c>
      <c r="D110" s="34">
        <f t="shared" si="37"/>
        <v>792</v>
      </c>
      <c r="E110" s="29">
        <f t="shared" si="37"/>
        <v>66</v>
      </c>
      <c r="F110" s="30">
        <f t="shared" si="37"/>
        <v>13</v>
      </c>
      <c r="G110" s="28">
        <f t="shared" si="37"/>
        <v>13</v>
      </c>
      <c r="H110" s="29">
        <f t="shared" si="37"/>
        <v>2</v>
      </c>
      <c r="I110" s="30">
        <f t="shared" si="37"/>
        <v>0</v>
      </c>
      <c r="J110" s="28">
        <f t="shared" si="37"/>
        <v>0</v>
      </c>
      <c r="K110" s="27">
        <f t="shared" si="37"/>
        <v>1102</v>
      </c>
      <c r="L110" s="34">
        <f t="shared" si="37"/>
        <v>1107</v>
      </c>
    </row>
    <row r="111" spans="1:12" ht="15.75" thickBot="1" x14ac:dyDescent="0.3">
      <c r="A111" t="str">
        <f t="shared" ca="1" si="21"/>
        <v>Sum30-Sum30</v>
      </c>
      <c r="B111" s="31" t="s">
        <v>112</v>
      </c>
      <c r="C111" s="14">
        <f t="shared" ref="C111:L111" si="38">C108+C109</f>
        <v>4392</v>
      </c>
      <c r="D111" s="16">
        <f t="shared" si="38"/>
        <v>1572</v>
      </c>
      <c r="E111" s="14">
        <f t="shared" si="38"/>
        <v>131</v>
      </c>
      <c r="F111" s="15">
        <f t="shared" si="38"/>
        <v>26</v>
      </c>
      <c r="G111" s="16">
        <f t="shared" si="38"/>
        <v>26</v>
      </c>
      <c r="H111" s="14">
        <f t="shared" si="38"/>
        <v>4</v>
      </c>
      <c r="I111" s="15">
        <f t="shared" si="38"/>
        <v>0</v>
      </c>
      <c r="J111" s="16">
        <f t="shared" si="38"/>
        <v>0</v>
      </c>
      <c r="K111" s="14">
        <f t="shared" si="38"/>
        <v>2188</v>
      </c>
      <c r="L111" s="16">
        <f t="shared" si="38"/>
        <v>2204</v>
      </c>
    </row>
    <row r="112" spans="1:12" x14ac:dyDescent="0.25">
      <c r="A112" t="str">
        <f t="shared" ca="1" si="21"/>
        <v>Jan-31</v>
      </c>
      <c r="B112" s="10">
        <v>47849</v>
      </c>
      <c r="C112" s="80">
        <v>744</v>
      </c>
      <c r="D112" s="81">
        <v>276</v>
      </c>
      <c r="E112" s="80">
        <v>23</v>
      </c>
      <c r="F112" s="82">
        <v>4</v>
      </c>
      <c r="G112" s="81">
        <v>4</v>
      </c>
      <c r="H112" s="80">
        <v>1</v>
      </c>
      <c r="I112" s="82">
        <v>0</v>
      </c>
      <c r="J112" s="81">
        <v>0</v>
      </c>
      <c r="K112" s="80">
        <v>376</v>
      </c>
      <c r="L112" s="81">
        <v>368</v>
      </c>
    </row>
    <row r="113" spans="1:12" x14ac:dyDescent="0.25">
      <c r="A113" t="str">
        <f t="shared" ca="1" si="21"/>
        <v>Feb-31</v>
      </c>
      <c r="B113" s="11">
        <v>47880</v>
      </c>
      <c r="C113" s="74">
        <v>672</v>
      </c>
      <c r="D113" s="75">
        <v>240</v>
      </c>
      <c r="E113" s="74">
        <v>20</v>
      </c>
      <c r="F113" s="76">
        <v>4</v>
      </c>
      <c r="G113" s="75">
        <v>4</v>
      </c>
      <c r="H113" s="74">
        <v>0</v>
      </c>
      <c r="I113" s="76">
        <v>0</v>
      </c>
      <c r="J113" s="75">
        <v>0</v>
      </c>
      <c r="K113" s="74">
        <v>344</v>
      </c>
      <c r="L113" s="75">
        <v>328</v>
      </c>
    </row>
    <row r="114" spans="1:12" x14ac:dyDescent="0.25">
      <c r="A114" t="str">
        <f t="shared" ca="1" si="21"/>
        <v>Mar-31</v>
      </c>
      <c r="B114" s="11">
        <v>47908</v>
      </c>
      <c r="C114" s="74">
        <v>743</v>
      </c>
      <c r="D114" s="75">
        <v>252</v>
      </c>
      <c r="E114" s="74">
        <v>21</v>
      </c>
      <c r="F114" s="76">
        <v>5</v>
      </c>
      <c r="G114" s="75">
        <v>5</v>
      </c>
      <c r="H114" s="74">
        <v>0</v>
      </c>
      <c r="I114" s="76">
        <v>0</v>
      </c>
      <c r="J114" s="75">
        <v>0</v>
      </c>
      <c r="K114" s="74">
        <v>366</v>
      </c>
      <c r="L114" s="75">
        <v>377</v>
      </c>
    </row>
    <row r="115" spans="1:12" x14ac:dyDescent="0.25">
      <c r="A115" t="str">
        <f t="shared" ca="1" si="21"/>
        <v>Apr-31</v>
      </c>
      <c r="B115" s="11">
        <v>47939</v>
      </c>
      <c r="C115" s="74">
        <v>720</v>
      </c>
      <c r="D115" s="75">
        <v>264</v>
      </c>
      <c r="E115" s="74">
        <v>22</v>
      </c>
      <c r="F115" s="76">
        <v>4</v>
      </c>
      <c r="G115" s="75">
        <v>4</v>
      </c>
      <c r="H115" s="74">
        <v>1</v>
      </c>
      <c r="I115" s="76">
        <v>0</v>
      </c>
      <c r="J115" s="75">
        <v>0</v>
      </c>
      <c r="K115" s="74">
        <v>360</v>
      </c>
      <c r="L115" s="75">
        <v>360</v>
      </c>
    </row>
    <row r="116" spans="1:12" x14ac:dyDescent="0.25">
      <c r="A116" t="str">
        <f t="shared" ca="1" si="21"/>
        <v>May-31</v>
      </c>
      <c r="B116" s="11">
        <v>47969</v>
      </c>
      <c r="C116" s="74">
        <v>744</v>
      </c>
      <c r="D116" s="75">
        <v>264</v>
      </c>
      <c r="E116" s="74">
        <v>22</v>
      </c>
      <c r="F116" s="76">
        <v>5</v>
      </c>
      <c r="G116" s="75">
        <v>4</v>
      </c>
      <c r="H116" s="74">
        <v>2</v>
      </c>
      <c r="I116" s="76">
        <v>0</v>
      </c>
      <c r="J116" s="75">
        <v>0</v>
      </c>
      <c r="K116" s="74">
        <v>350</v>
      </c>
      <c r="L116" s="75">
        <v>394</v>
      </c>
    </row>
    <row r="117" spans="1:12" x14ac:dyDescent="0.25">
      <c r="A117" t="str">
        <f t="shared" ca="1" si="21"/>
        <v>Jun-31</v>
      </c>
      <c r="B117" s="11">
        <v>48000</v>
      </c>
      <c r="C117" s="74">
        <v>720</v>
      </c>
      <c r="D117" s="75">
        <v>252</v>
      </c>
      <c r="E117" s="74">
        <v>21</v>
      </c>
      <c r="F117" s="76">
        <v>4</v>
      </c>
      <c r="G117" s="75">
        <v>5</v>
      </c>
      <c r="H117" s="74">
        <v>1</v>
      </c>
      <c r="I117" s="76">
        <v>0</v>
      </c>
      <c r="J117" s="75">
        <v>0</v>
      </c>
      <c r="K117" s="74">
        <v>344</v>
      </c>
      <c r="L117" s="75">
        <v>376</v>
      </c>
    </row>
    <row r="118" spans="1:12" x14ac:dyDescent="0.25">
      <c r="A118" t="str">
        <f t="shared" ca="1" si="21"/>
        <v>Jul-31</v>
      </c>
      <c r="B118" s="11">
        <v>48030</v>
      </c>
      <c r="C118" s="74">
        <v>744</v>
      </c>
      <c r="D118" s="75">
        <v>276</v>
      </c>
      <c r="E118" s="74">
        <v>23</v>
      </c>
      <c r="F118" s="76">
        <v>4</v>
      </c>
      <c r="G118" s="75">
        <v>4</v>
      </c>
      <c r="H118" s="74">
        <v>0</v>
      </c>
      <c r="I118" s="76">
        <v>0</v>
      </c>
      <c r="J118" s="75">
        <v>0</v>
      </c>
      <c r="K118" s="74">
        <v>392</v>
      </c>
      <c r="L118" s="75">
        <v>352</v>
      </c>
    </row>
    <row r="119" spans="1:12" x14ac:dyDescent="0.25">
      <c r="A119" t="str">
        <f t="shared" ca="1" si="21"/>
        <v>Aug-31</v>
      </c>
      <c r="B119" s="11">
        <v>48061</v>
      </c>
      <c r="C119" s="74">
        <v>744</v>
      </c>
      <c r="D119" s="75">
        <v>252</v>
      </c>
      <c r="E119" s="74">
        <v>21</v>
      </c>
      <c r="F119" s="76">
        <v>5</v>
      </c>
      <c r="G119" s="75">
        <v>5</v>
      </c>
      <c r="H119" s="74">
        <v>0</v>
      </c>
      <c r="I119" s="76">
        <v>0</v>
      </c>
      <c r="J119" s="75">
        <v>0</v>
      </c>
      <c r="K119" s="74">
        <v>366</v>
      </c>
      <c r="L119" s="75">
        <v>378</v>
      </c>
    </row>
    <row r="120" spans="1:12" x14ac:dyDescent="0.25">
      <c r="A120" t="str">
        <f t="shared" ca="1" si="21"/>
        <v>Sep-31</v>
      </c>
      <c r="B120" s="11">
        <v>48092</v>
      </c>
      <c r="C120" s="74">
        <v>720</v>
      </c>
      <c r="D120" s="75">
        <v>264</v>
      </c>
      <c r="E120" s="74">
        <v>22</v>
      </c>
      <c r="F120" s="76">
        <v>4</v>
      </c>
      <c r="G120" s="75">
        <v>4</v>
      </c>
      <c r="H120" s="74">
        <v>0</v>
      </c>
      <c r="I120" s="76">
        <v>0</v>
      </c>
      <c r="J120" s="75">
        <v>0</v>
      </c>
      <c r="K120" s="74">
        <v>376</v>
      </c>
      <c r="L120" s="75">
        <v>344</v>
      </c>
    </row>
    <row r="121" spans="1:12" x14ac:dyDescent="0.25">
      <c r="A121" t="str">
        <f t="shared" ca="1" si="21"/>
        <v>Oct-31</v>
      </c>
      <c r="B121" s="11">
        <v>48122</v>
      </c>
      <c r="C121" s="74">
        <v>745</v>
      </c>
      <c r="D121" s="75">
        <v>276</v>
      </c>
      <c r="E121" s="74">
        <v>23</v>
      </c>
      <c r="F121" s="76">
        <v>4</v>
      </c>
      <c r="G121" s="75">
        <v>4</v>
      </c>
      <c r="H121" s="74">
        <v>0</v>
      </c>
      <c r="I121" s="76">
        <v>0</v>
      </c>
      <c r="J121" s="75">
        <v>0</v>
      </c>
      <c r="K121" s="74">
        <v>392</v>
      </c>
      <c r="L121" s="75">
        <v>353</v>
      </c>
    </row>
    <row r="122" spans="1:12" x14ac:dyDescent="0.25">
      <c r="A122" t="str">
        <f t="shared" ca="1" si="21"/>
        <v>Nov-31</v>
      </c>
      <c r="B122" s="11">
        <v>48153</v>
      </c>
      <c r="C122" s="74">
        <v>720</v>
      </c>
      <c r="D122" s="75">
        <v>240</v>
      </c>
      <c r="E122" s="74">
        <v>20</v>
      </c>
      <c r="F122" s="76">
        <v>5</v>
      </c>
      <c r="G122" s="75">
        <v>5</v>
      </c>
      <c r="H122" s="74">
        <v>0</v>
      </c>
      <c r="I122" s="76">
        <v>0</v>
      </c>
      <c r="J122" s="75">
        <v>0</v>
      </c>
      <c r="K122" s="74">
        <v>350</v>
      </c>
      <c r="L122" s="75">
        <v>370</v>
      </c>
    </row>
    <row r="123" spans="1:12" ht="15.75" thickBot="1" x14ac:dyDescent="0.3">
      <c r="A123" t="str">
        <f t="shared" ca="1" si="21"/>
        <v>Dec-31</v>
      </c>
      <c r="B123" s="12">
        <v>48183</v>
      </c>
      <c r="C123" s="77">
        <v>744</v>
      </c>
      <c r="D123" s="78">
        <v>276</v>
      </c>
      <c r="E123" s="77">
        <v>23</v>
      </c>
      <c r="F123" s="79">
        <v>4</v>
      </c>
      <c r="G123" s="78">
        <v>4</v>
      </c>
      <c r="H123" s="77">
        <v>2</v>
      </c>
      <c r="I123" s="79">
        <v>0</v>
      </c>
      <c r="J123" s="78">
        <v>0</v>
      </c>
      <c r="K123" s="77">
        <v>360</v>
      </c>
      <c r="L123" s="78">
        <v>384</v>
      </c>
    </row>
    <row r="124" spans="1:12" ht="15.75" thickBot="1" x14ac:dyDescent="0.3">
      <c r="A124" t="str">
        <f t="shared" ca="1" si="21"/>
        <v>2031</v>
      </c>
      <c r="B124" s="13" t="s">
        <v>113</v>
      </c>
      <c r="C124" s="14">
        <f t="shared" ref="C124:J124" si="39">SUM(C112:C123)</f>
        <v>8760</v>
      </c>
      <c r="D124" s="16">
        <f t="shared" si="39"/>
        <v>3132</v>
      </c>
      <c r="E124" s="14">
        <f t="shared" si="39"/>
        <v>261</v>
      </c>
      <c r="F124" s="15">
        <f t="shared" si="39"/>
        <v>52</v>
      </c>
      <c r="G124" s="16">
        <f t="shared" si="39"/>
        <v>52</v>
      </c>
      <c r="H124" s="14">
        <f t="shared" si="39"/>
        <v>7</v>
      </c>
      <c r="I124" s="15">
        <f t="shared" si="39"/>
        <v>0</v>
      </c>
      <c r="J124" s="16">
        <f t="shared" si="39"/>
        <v>0</v>
      </c>
      <c r="K124" s="14">
        <f>SUM(K112:K123)</f>
        <v>4376</v>
      </c>
      <c r="L124" s="16">
        <f>SUM(L112:L123)</f>
        <v>4384</v>
      </c>
    </row>
    <row r="125" spans="1:12" x14ac:dyDescent="0.25">
      <c r="A125" t="str">
        <f t="shared" ca="1" si="21"/>
        <v>Q131</v>
      </c>
      <c r="B125" s="17" t="s">
        <v>114</v>
      </c>
      <c r="C125" s="18">
        <f t="shared" ref="C125:L125" si="40">C112+C113+C114</f>
        <v>2159</v>
      </c>
      <c r="D125" s="20">
        <f t="shared" si="40"/>
        <v>768</v>
      </c>
      <c r="E125" s="18">
        <f t="shared" si="40"/>
        <v>64</v>
      </c>
      <c r="F125" s="19">
        <f t="shared" si="40"/>
        <v>13</v>
      </c>
      <c r="G125" s="20">
        <f t="shared" si="40"/>
        <v>13</v>
      </c>
      <c r="H125" s="18">
        <f t="shared" si="40"/>
        <v>1</v>
      </c>
      <c r="I125" s="19">
        <f t="shared" si="40"/>
        <v>0</v>
      </c>
      <c r="J125" s="20">
        <f t="shared" si="40"/>
        <v>0</v>
      </c>
      <c r="K125" s="18">
        <f t="shared" si="40"/>
        <v>1086</v>
      </c>
      <c r="L125" s="20">
        <f t="shared" si="40"/>
        <v>1073</v>
      </c>
    </row>
    <row r="126" spans="1:12" x14ac:dyDescent="0.25">
      <c r="A126" t="str">
        <f t="shared" ca="1" si="21"/>
        <v>Q231</v>
      </c>
      <c r="B126" s="21" t="s">
        <v>115</v>
      </c>
      <c r="C126" s="22">
        <f t="shared" ref="C126:L126" si="41">C115+C116+C117</f>
        <v>2184</v>
      </c>
      <c r="D126" s="33">
        <f t="shared" si="41"/>
        <v>780</v>
      </c>
      <c r="E126" s="24">
        <f t="shared" si="41"/>
        <v>65</v>
      </c>
      <c r="F126" s="25">
        <f t="shared" si="41"/>
        <v>13</v>
      </c>
      <c r="G126" s="23">
        <f t="shared" si="41"/>
        <v>13</v>
      </c>
      <c r="H126" s="24">
        <f t="shared" si="41"/>
        <v>4</v>
      </c>
      <c r="I126" s="25">
        <f t="shared" si="41"/>
        <v>0</v>
      </c>
      <c r="J126" s="23">
        <f t="shared" si="41"/>
        <v>0</v>
      </c>
      <c r="K126" s="22">
        <f t="shared" si="41"/>
        <v>1054</v>
      </c>
      <c r="L126" s="33">
        <f t="shared" si="41"/>
        <v>1130</v>
      </c>
    </row>
    <row r="127" spans="1:12" x14ac:dyDescent="0.25">
      <c r="A127" t="str">
        <f t="shared" ca="1" si="21"/>
        <v>Q331</v>
      </c>
      <c r="B127" s="21" t="s">
        <v>116</v>
      </c>
      <c r="C127" s="22">
        <f t="shared" ref="C127:L127" si="42">C118+C119+C120</f>
        <v>2208</v>
      </c>
      <c r="D127" s="33">
        <f t="shared" si="42"/>
        <v>792</v>
      </c>
      <c r="E127" s="24">
        <f t="shared" si="42"/>
        <v>66</v>
      </c>
      <c r="F127" s="25">
        <f t="shared" si="42"/>
        <v>13</v>
      </c>
      <c r="G127" s="23">
        <f t="shared" si="42"/>
        <v>13</v>
      </c>
      <c r="H127" s="24">
        <f t="shared" si="42"/>
        <v>0</v>
      </c>
      <c r="I127" s="25">
        <f t="shared" si="42"/>
        <v>0</v>
      </c>
      <c r="J127" s="23">
        <f t="shared" si="42"/>
        <v>0</v>
      </c>
      <c r="K127" s="22">
        <f t="shared" si="42"/>
        <v>1134</v>
      </c>
      <c r="L127" s="33">
        <f t="shared" si="42"/>
        <v>1074</v>
      </c>
    </row>
    <row r="128" spans="1:12" ht="15.75" thickBot="1" x14ac:dyDescent="0.3">
      <c r="A128" t="str">
        <f t="shared" ca="1" si="21"/>
        <v>Q431</v>
      </c>
      <c r="B128" s="26" t="s">
        <v>117</v>
      </c>
      <c r="C128" s="27">
        <f t="shared" ref="C128:L128" si="43">C121+C122+C123</f>
        <v>2209</v>
      </c>
      <c r="D128" s="34">
        <f t="shared" si="43"/>
        <v>792</v>
      </c>
      <c r="E128" s="29">
        <f t="shared" si="43"/>
        <v>66</v>
      </c>
      <c r="F128" s="30">
        <f t="shared" si="43"/>
        <v>13</v>
      </c>
      <c r="G128" s="28">
        <f t="shared" si="43"/>
        <v>13</v>
      </c>
      <c r="H128" s="29">
        <f t="shared" si="43"/>
        <v>2</v>
      </c>
      <c r="I128" s="30">
        <f t="shared" si="43"/>
        <v>0</v>
      </c>
      <c r="J128" s="28">
        <f t="shared" si="43"/>
        <v>0</v>
      </c>
      <c r="K128" s="27">
        <f t="shared" si="43"/>
        <v>1102</v>
      </c>
      <c r="L128" s="34">
        <f t="shared" si="43"/>
        <v>1107</v>
      </c>
    </row>
    <row r="129" spans="1:12" ht="15.75" thickBot="1" x14ac:dyDescent="0.3">
      <c r="A129" t="str">
        <f t="shared" ca="1" si="21"/>
        <v>Sum31-Sum31</v>
      </c>
      <c r="B129" s="31" t="s">
        <v>118</v>
      </c>
      <c r="C129" s="14">
        <f t="shared" ref="C129:L129" si="44">C126+C127</f>
        <v>4392</v>
      </c>
      <c r="D129" s="16">
        <f t="shared" si="44"/>
        <v>1572</v>
      </c>
      <c r="E129" s="14">
        <f t="shared" si="44"/>
        <v>131</v>
      </c>
      <c r="F129" s="15">
        <f t="shared" si="44"/>
        <v>26</v>
      </c>
      <c r="G129" s="16">
        <f t="shared" si="44"/>
        <v>26</v>
      </c>
      <c r="H129" s="14">
        <f t="shared" si="44"/>
        <v>4</v>
      </c>
      <c r="I129" s="15">
        <f t="shared" si="44"/>
        <v>0</v>
      </c>
      <c r="J129" s="16">
        <f t="shared" si="44"/>
        <v>0</v>
      </c>
      <c r="K129" s="14">
        <f t="shared" si="44"/>
        <v>2188</v>
      </c>
      <c r="L129" s="16">
        <f t="shared" si="44"/>
        <v>2204</v>
      </c>
    </row>
    <row r="130" spans="1:12" x14ac:dyDescent="0.25">
      <c r="A130" t="str">
        <f t="shared" ca="1" si="21"/>
        <v>Jan-32</v>
      </c>
      <c r="B130" s="10">
        <v>48214</v>
      </c>
      <c r="C130" s="80">
        <v>744</v>
      </c>
      <c r="D130" s="81">
        <v>264</v>
      </c>
      <c r="E130" s="80">
        <v>22</v>
      </c>
      <c r="F130" s="82">
        <v>5</v>
      </c>
      <c r="G130" s="81">
        <v>4</v>
      </c>
      <c r="H130" s="80">
        <v>1</v>
      </c>
      <c r="I130" s="82">
        <v>0</v>
      </c>
      <c r="J130" s="81">
        <v>0</v>
      </c>
      <c r="K130" s="80">
        <v>366</v>
      </c>
      <c r="L130" s="81">
        <v>378</v>
      </c>
    </row>
    <row r="131" spans="1:12" x14ac:dyDescent="0.25">
      <c r="A131" t="str">
        <f t="shared" ca="1" si="21"/>
        <v>Feb-32</v>
      </c>
      <c r="B131" s="11">
        <v>48245</v>
      </c>
      <c r="C131" s="74">
        <v>696</v>
      </c>
      <c r="D131" s="75">
        <v>240</v>
      </c>
      <c r="E131" s="74">
        <v>20</v>
      </c>
      <c r="F131" s="76">
        <v>4</v>
      </c>
      <c r="G131" s="75">
        <v>5</v>
      </c>
      <c r="H131" s="74">
        <v>0</v>
      </c>
      <c r="I131" s="76">
        <v>0</v>
      </c>
      <c r="J131" s="75">
        <v>0</v>
      </c>
      <c r="K131" s="74">
        <v>344</v>
      </c>
      <c r="L131" s="75">
        <v>352</v>
      </c>
    </row>
    <row r="132" spans="1:12" x14ac:dyDescent="0.25">
      <c r="A132" t="str">
        <f t="shared" ca="1" si="21"/>
        <v>Mar-32</v>
      </c>
      <c r="B132" s="11">
        <v>48274</v>
      </c>
      <c r="C132" s="74">
        <v>743</v>
      </c>
      <c r="D132" s="75">
        <v>276</v>
      </c>
      <c r="E132" s="74">
        <v>23</v>
      </c>
      <c r="F132" s="76">
        <v>4</v>
      </c>
      <c r="G132" s="75">
        <v>4</v>
      </c>
      <c r="H132" s="74">
        <v>1</v>
      </c>
      <c r="I132" s="76">
        <v>0</v>
      </c>
      <c r="J132" s="75">
        <v>0</v>
      </c>
      <c r="K132" s="74">
        <v>376</v>
      </c>
      <c r="L132" s="75">
        <v>367</v>
      </c>
    </row>
    <row r="133" spans="1:12" x14ac:dyDescent="0.25">
      <c r="A133" t="str">
        <f t="shared" ca="1" si="21"/>
        <v>Apr-32</v>
      </c>
      <c r="B133" s="11">
        <v>48305</v>
      </c>
      <c r="C133" s="74">
        <v>720</v>
      </c>
      <c r="D133" s="75">
        <v>264</v>
      </c>
      <c r="E133" s="74">
        <v>22</v>
      </c>
      <c r="F133" s="76">
        <v>4</v>
      </c>
      <c r="G133" s="75">
        <v>4</v>
      </c>
      <c r="H133" s="74">
        <v>0</v>
      </c>
      <c r="I133" s="76">
        <v>0</v>
      </c>
      <c r="J133" s="75">
        <v>0</v>
      </c>
      <c r="K133" s="74">
        <v>376</v>
      </c>
      <c r="L133" s="75">
        <v>344</v>
      </c>
    </row>
    <row r="134" spans="1:12" x14ac:dyDescent="0.25">
      <c r="A134" t="str">
        <f t="shared" ca="1" si="21"/>
        <v>May-32</v>
      </c>
      <c r="B134" s="11">
        <v>48335</v>
      </c>
      <c r="C134" s="74">
        <v>744</v>
      </c>
      <c r="D134" s="75">
        <v>252</v>
      </c>
      <c r="E134" s="74">
        <v>21</v>
      </c>
      <c r="F134" s="76">
        <v>5</v>
      </c>
      <c r="G134" s="75">
        <v>5</v>
      </c>
      <c r="H134" s="74">
        <v>2</v>
      </c>
      <c r="I134" s="76">
        <v>1</v>
      </c>
      <c r="J134" s="75">
        <v>0</v>
      </c>
      <c r="K134" s="74">
        <v>328</v>
      </c>
      <c r="L134" s="75">
        <v>416</v>
      </c>
    </row>
    <row r="135" spans="1:12" x14ac:dyDescent="0.25">
      <c r="A135" t="str">
        <f t="shared" ref="A135:A165" ca="1" si="45">IF(LEFT(B135,1)="Q",LEFT(B135,2)&amp;RIGHT(B135,2),IF(CELL("format",B135)="D3",TEXT(B135,"[$-409]MMM")&amp;"-"&amp;TEXT(B135,"JJ"),IF(LEFT(B135,1)="C",TEXT(RIGHT(B135,2)+2000,"####"))))</f>
        <v>Jun-32</v>
      </c>
      <c r="B135" s="11">
        <v>48366</v>
      </c>
      <c r="C135" s="74">
        <v>720</v>
      </c>
      <c r="D135" s="75">
        <v>264</v>
      </c>
      <c r="E135" s="74">
        <v>22</v>
      </c>
      <c r="F135" s="76">
        <v>4</v>
      </c>
      <c r="G135" s="75">
        <v>4</v>
      </c>
      <c r="H135" s="74">
        <v>0</v>
      </c>
      <c r="I135" s="76">
        <v>0</v>
      </c>
      <c r="J135" s="75">
        <v>0</v>
      </c>
      <c r="K135" s="74">
        <v>376</v>
      </c>
      <c r="L135" s="75">
        <v>344</v>
      </c>
    </row>
    <row r="136" spans="1:12" x14ac:dyDescent="0.25">
      <c r="A136" t="str">
        <f t="shared" ca="1" si="45"/>
        <v>Jul-32</v>
      </c>
      <c r="B136" s="11">
        <v>48396</v>
      </c>
      <c r="C136" s="74">
        <v>744</v>
      </c>
      <c r="D136" s="75">
        <v>264</v>
      </c>
      <c r="E136" s="74">
        <v>22</v>
      </c>
      <c r="F136" s="76">
        <v>5</v>
      </c>
      <c r="G136" s="75">
        <v>4</v>
      </c>
      <c r="H136" s="74">
        <v>0</v>
      </c>
      <c r="I136" s="76">
        <v>0</v>
      </c>
      <c r="J136" s="75">
        <v>0</v>
      </c>
      <c r="K136" s="74">
        <v>382</v>
      </c>
      <c r="L136" s="75">
        <v>362</v>
      </c>
    </row>
    <row r="137" spans="1:12" x14ac:dyDescent="0.25">
      <c r="A137" t="str">
        <f t="shared" ca="1" si="45"/>
        <v>Aug-32</v>
      </c>
      <c r="B137" s="11">
        <v>48427</v>
      </c>
      <c r="C137" s="74">
        <v>744</v>
      </c>
      <c r="D137" s="75">
        <v>264</v>
      </c>
      <c r="E137" s="74">
        <v>22</v>
      </c>
      <c r="F137" s="76">
        <v>4</v>
      </c>
      <c r="G137" s="75">
        <v>5</v>
      </c>
      <c r="H137" s="74">
        <v>0</v>
      </c>
      <c r="I137" s="76">
        <v>0</v>
      </c>
      <c r="J137" s="75">
        <v>0</v>
      </c>
      <c r="K137" s="74">
        <v>376</v>
      </c>
      <c r="L137" s="75">
        <v>368</v>
      </c>
    </row>
    <row r="138" spans="1:12" x14ac:dyDescent="0.25">
      <c r="A138" t="str">
        <f t="shared" ca="1" si="45"/>
        <v>Sep-32</v>
      </c>
      <c r="B138" s="11">
        <v>48458</v>
      </c>
      <c r="C138" s="74">
        <v>720</v>
      </c>
      <c r="D138" s="75">
        <v>264</v>
      </c>
      <c r="E138" s="74">
        <v>22</v>
      </c>
      <c r="F138" s="76">
        <v>4</v>
      </c>
      <c r="G138" s="75">
        <v>4</v>
      </c>
      <c r="H138" s="74">
        <v>0</v>
      </c>
      <c r="I138" s="76">
        <v>0</v>
      </c>
      <c r="J138" s="75">
        <v>0</v>
      </c>
      <c r="K138" s="74">
        <v>376</v>
      </c>
      <c r="L138" s="75">
        <v>344</v>
      </c>
    </row>
    <row r="139" spans="1:12" x14ac:dyDescent="0.25">
      <c r="A139" t="str">
        <f t="shared" ca="1" si="45"/>
        <v>Oct-32</v>
      </c>
      <c r="B139" s="11">
        <v>48488</v>
      </c>
      <c r="C139" s="74">
        <v>745</v>
      </c>
      <c r="D139" s="75">
        <v>252</v>
      </c>
      <c r="E139" s="74">
        <v>21</v>
      </c>
      <c r="F139" s="76">
        <v>5</v>
      </c>
      <c r="G139" s="75">
        <v>5</v>
      </c>
      <c r="H139" s="74">
        <v>0</v>
      </c>
      <c r="I139" s="76">
        <v>0</v>
      </c>
      <c r="J139" s="75">
        <v>0</v>
      </c>
      <c r="K139" s="74">
        <v>366</v>
      </c>
      <c r="L139" s="75">
        <v>379</v>
      </c>
    </row>
    <row r="140" spans="1:12" x14ac:dyDescent="0.25">
      <c r="A140" t="str">
        <f t="shared" ca="1" si="45"/>
        <v>Nov-32</v>
      </c>
      <c r="B140" s="11">
        <v>48519</v>
      </c>
      <c r="C140" s="74">
        <v>720</v>
      </c>
      <c r="D140" s="75">
        <v>264</v>
      </c>
      <c r="E140" s="74">
        <v>22</v>
      </c>
      <c r="F140" s="76">
        <v>4</v>
      </c>
      <c r="G140" s="75">
        <v>4</v>
      </c>
      <c r="H140" s="74">
        <v>0</v>
      </c>
      <c r="I140" s="76">
        <v>0</v>
      </c>
      <c r="J140" s="75">
        <v>0</v>
      </c>
      <c r="K140" s="74">
        <v>376</v>
      </c>
      <c r="L140" s="75">
        <v>344</v>
      </c>
    </row>
    <row r="141" spans="1:12" ht="15.75" thickBot="1" x14ac:dyDescent="0.3">
      <c r="A141" t="str">
        <f t="shared" ca="1" si="45"/>
        <v>Dec-32</v>
      </c>
      <c r="B141" s="12">
        <v>48549</v>
      </c>
      <c r="C141" s="77">
        <v>744</v>
      </c>
      <c r="D141" s="78">
        <v>276</v>
      </c>
      <c r="E141" s="77">
        <v>23</v>
      </c>
      <c r="F141" s="79">
        <v>4</v>
      </c>
      <c r="G141" s="78">
        <v>4</v>
      </c>
      <c r="H141" s="77">
        <v>0</v>
      </c>
      <c r="I141" s="79">
        <v>1</v>
      </c>
      <c r="J141" s="78">
        <v>1</v>
      </c>
      <c r="K141" s="77">
        <v>386</v>
      </c>
      <c r="L141" s="78">
        <v>358</v>
      </c>
    </row>
    <row r="142" spans="1:12" ht="15.75" thickBot="1" x14ac:dyDescent="0.3">
      <c r="A142" t="str">
        <f t="shared" ca="1" si="45"/>
        <v>2032</v>
      </c>
      <c r="B142" s="13" t="s">
        <v>119</v>
      </c>
      <c r="C142" s="14">
        <f t="shared" ref="C142:J142" si="46">SUM(C130:C141)</f>
        <v>8784</v>
      </c>
      <c r="D142" s="16">
        <f t="shared" si="46"/>
        <v>3144</v>
      </c>
      <c r="E142" s="14">
        <f t="shared" si="46"/>
        <v>262</v>
      </c>
      <c r="F142" s="15">
        <f t="shared" si="46"/>
        <v>52</v>
      </c>
      <c r="G142" s="16">
        <f t="shared" si="46"/>
        <v>52</v>
      </c>
      <c r="H142" s="14">
        <f t="shared" si="46"/>
        <v>4</v>
      </c>
      <c r="I142" s="15">
        <f t="shared" si="46"/>
        <v>2</v>
      </c>
      <c r="J142" s="16">
        <f t="shared" si="46"/>
        <v>1</v>
      </c>
      <c r="K142" s="14">
        <f>SUM(K130:K141)</f>
        <v>4428</v>
      </c>
      <c r="L142" s="16">
        <f>SUM(L130:L141)</f>
        <v>4356</v>
      </c>
    </row>
    <row r="143" spans="1:12" x14ac:dyDescent="0.25">
      <c r="A143" t="str">
        <f t="shared" ca="1" si="45"/>
        <v>Q132</v>
      </c>
      <c r="B143" s="17" t="s">
        <v>120</v>
      </c>
      <c r="C143" s="18">
        <f t="shared" ref="C143:L143" si="47">C130+C131+C132</f>
        <v>2183</v>
      </c>
      <c r="D143" s="20">
        <f t="shared" si="47"/>
        <v>780</v>
      </c>
      <c r="E143" s="18">
        <f t="shared" si="47"/>
        <v>65</v>
      </c>
      <c r="F143" s="19">
        <f t="shared" si="47"/>
        <v>13</v>
      </c>
      <c r="G143" s="20">
        <f t="shared" si="47"/>
        <v>13</v>
      </c>
      <c r="H143" s="18">
        <f t="shared" si="47"/>
        <v>2</v>
      </c>
      <c r="I143" s="19">
        <f t="shared" si="47"/>
        <v>0</v>
      </c>
      <c r="J143" s="20">
        <f t="shared" si="47"/>
        <v>0</v>
      </c>
      <c r="K143" s="18">
        <f t="shared" si="47"/>
        <v>1086</v>
      </c>
      <c r="L143" s="20">
        <f t="shared" si="47"/>
        <v>1097</v>
      </c>
    </row>
    <row r="144" spans="1:12" x14ac:dyDescent="0.25">
      <c r="A144" t="str">
        <f t="shared" ca="1" si="45"/>
        <v>Q232</v>
      </c>
      <c r="B144" s="21" t="s">
        <v>121</v>
      </c>
      <c r="C144" s="22">
        <f t="shared" ref="C144:L144" si="48">C133+C134+C135</f>
        <v>2184</v>
      </c>
      <c r="D144" s="33">
        <f t="shared" si="48"/>
        <v>780</v>
      </c>
      <c r="E144" s="24">
        <f t="shared" si="48"/>
        <v>65</v>
      </c>
      <c r="F144" s="25">
        <f t="shared" si="48"/>
        <v>13</v>
      </c>
      <c r="G144" s="23">
        <f t="shared" si="48"/>
        <v>13</v>
      </c>
      <c r="H144" s="24">
        <f t="shared" si="48"/>
        <v>2</v>
      </c>
      <c r="I144" s="25">
        <f t="shared" si="48"/>
        <v>1</v>
      </c>
      <c r="J144" s="23">
        <f t="shared" si="48"/>
        <v>0</v>
      </c>
      <c r="K144" s="22">
        <f t="shared" si="48"/>
        <v>1080</v>
      </c>
      <c r="L144" s="33">
        <f t="shared" si="48"/>
        <v>1104</v>
      </c>
    </row>
    <row r="145" spans="1:12" x14ac:dyDescent="0.25">
      <c r="A145" t="str">
        <f t="shared" ca="1" si="45"/>
        <v>Q332</v>
      </c>
      <c r="B145" s="21" t="s">
        <v>122</v>
      </c>
      <c r="C145" s="22">
        <f t="shared" ref="C145:L145" si="49">C136+C137+C138</f>
        <v>2208</v>
      </c>
      <c r="D145" s="33">
        <f t="shared" si="49"/>
        <v>792</v>
      </c>
      <c r="E145" s="24">
        <f t="shared" si="49"/>
        <v>66</v>
      </c>
      <c r="F145" s="25">
        <f t="shared" si="49"/>
        <v>13</v>
      </c>
      <c r="G145" s="23">
        <f t="shared" si="49"/>
        <v>13</v>
      </c>
      <c r="H145" s="24">
        <f t="shared" si="49"/>
        <v>0</v>
      </c>
      <c r="I145" s="25">
        <f t="shared" si="49"/>
        <v>0</v>
      </c>
      <c r="J145" s="23">
        <f t="shared" si="49"/>
        <v>0</v>
      </c>
      <c r="K145" s="22">
        <f t="shared" si="49"/>
        <v>1134</v>
      </c>
      <c r="L145" s="33">
        <f t="shared" si="49"/>
        <v>1074</v>
      </c>
    </row>
    <row r="146" spans="1:12" ht="15.75" thickBot="1" x14ac:dyDescent="0.3">
      <c r="A146" t="str">
        <f t="shared" ca="1" si="45"/>
        <v>Q432</v>
      </c>
      <c r="B146" s="26" t="s">
        <v>123</v>
      </c>
      <c r="C146" s="27">
        <f t="shared" ref="C146:L146" si="50">C139+C140+C141</f>
        <v>2209</v>
      </c>
      <c r="D146" s="34">
        <f t="shared" si="50"/>
        <v>792</v>
      </c>
      <c r="E146" s="29">
        <f t="shared" si="50"/>
        <v>66</v>
      </c>
      <c r="F146" s="30">
        <f t="shared" si="50"/>
        <v>13</v>
      </c>
      <c r="G146" s="28">
        <f t="shared" si="50"/>
        <v>13</v>
      </c>
      <c r="H146" s="29">
        <f t="shared" si="50"/>
        <v>0</v>
      </c>
      <c r="I146" s="30">
        <f t="shared" si="50"/>
        <v>1</v>
      </c>
      <c r="J146" s="28">
        <f t="shared" si="50"/>
        <v>1</v>
      </c>
      <c r="K146" s="27">
        <f t="shared" si="50"/>
        <v>1128</v>
      </c>
      <c r="L146" s="34">
        <f t="shared" si="50"/>
        <v>1081</v>
      </c>
    </row>
    <row r="147" spans="1:12" ht="15.75" thickBot="1" x14ac:dyDescent="0.3">
      <c r="A147" t="str">
        <f t="shared" ca="1" si="45"/>
        <v>Sum32-Sum32</v>
      </c>
      <c r="B147" s="31" t="s">
        <v>124</v>
      </c>
      <c r="C147" s="14">
        <f t="shared" ref="C147:L147" si="51">C144+C145</f>
        <v>4392</v>
      </c>
      <c r="D147" s="16">
        <f t="shared" si="51"/>
        <v>1572</v>
      </c>
      <c r="E147" s="14">
        <f t="shared" si="51"/>
        <v>131</v>
      </c>
      <c r="F147" s="15">
        <f t="shared" si="51"/>
        <v>26</v>
      </c>
      <c r="G147" s="16">
        <f t="shared" si="51"/>
        <v>26</v>
      </c>
      <c r="H147" s="14">
        <f t="shared" si="51"/>
        <v>2</v>
      </c>
      <c r="I147" s="15">
        <f t="shared" si="51"/>
        <v>1</v>
      </c>
      <c r="J147" s="16">
        <f t="shared" si="51"/>
        <v>0</v>
      </c>
      <c r="K147" s="14">
        <f t="shared" si="51"/>
        <v>2214</v>
      </c>
      <c r="L147" s="16">
        <f t="shared" si="51"/>
        <v>2178</v>
      </c>
    </row>
    <row r="148" spans="1:12" x14ac:dyDescent="0.25">
      <c r="A148" t="str">
        <f t="shared" ca="1" si="45"/>
        <v>Jan-33</v>
      </c>
      <c r="B148" s="10">
        <v>48580</v>
      </c>
      <c r="C148" s="80">
        <v>744</v>
      </c>
      <c r="D148" s="81">
        <v>252</v>
      </c>
      <c r="E148" s="80">
        <v>21</v>
      </c>
      <c r="F148" s="82">
        <v>5</v>
      </c>
      <c r="G148" s="81">
        <v>5</v>
      </c>
      <c r="H148" s="80">
        <v>0</v>
      </c>
      <c r="I148" s="82">
        <v>1</v>
      </c>
      <c r="J148" s="81">
        <v>0</v>
      </c>
      <c r="K148" s="80">
        <v>360</v>
      </c>
      <c r="L148" s="81">
        <v>384</v>
      </c>
    </row>
    <row r="149" spans="1:12" x14ac:dyDescent="0.25">
      <c r="A149" t="str">
        <f t="shared" ca="1" si="45"/>
        <v>Feb-33</v>
      </c>
      <c r="B149" s="11">
        <v>48611</v>
      </c>
      <c r="C149" s="74">
        <v>672</v>
      </c>
      <c r="D149" s="75">
        <v>240</v>
      </c>
      <c r="E149" s="74">
        <v>20</v>
      </c>
      <c r="F149" s="76">
        <v>4</v>
      </c>
      <c r="G149" s="75">
        <v>4</v>
      </c>
      <c r="H149" s="74">
        <v>0</v>
      </c>
      <c r="I149" s="76">
        <v>0</v>
      </c>
      <c r="J149" s="75">
        <v>0</v>
      </c>
      <c r="K149" s="74">
        <v>344</v>
      </c>
      <c r="L149" s="75">
        <v>328</v>
      </c>
    </row>
    <row r="150" spans="1:12" x14ac:dyDescent="0.25">
      <c r="A150" t="str">
        <f t="shared" ca="1" si="45"/>
        <v>Mar-33</v>
      </c>
      <c r="B150" s="11">
        <v>48639</v>
      </c>
      <c r="C150" s="74">
        <v>743</v>
      </c>
      <c r="D150" s="75">
        <v>276</v>
      </c>
      <c r="E150" s="74">
        <v>23</v>
      </c>
      <c r="F150" s="76">
        <v>4</v>
      </c>
      <c r="G150" s="75">
        <v>4</v>
      </c>
      <c r="H150" s="74">
        <v>0</v>
      </c>
      <c r="I150" s="76">
        <v>0</v>
      </c>
      <c r="J150" s="75">
        <v>0</v>
      </c>
      <c r="K150" s="74">
        <v>392</v>
      </c>
      <c r="L150" s="75">
        <v>351</v>
      </c>
    </row>
    <row r="151" spans="1:12" x14ac:dyDescent="0.25">
      <c r="A151" t="str">
        <f t="shared" ca="1" si="45"/>
        <v>Apr-33</v>
      </c>
      <c r="B151" s="11">
        <v>48670</v>
      </c>
      <c r="C151" s="74">
        <v>720</v>
      </c>
      <c r="D151" s="75">
        <v>252</v>
      </c>
      <c r="E151" s="74">
        <v>21</v>
      </c>
      <c r="F151" s="76">
        <v>5</v>
      </c>
      <c r="G151" s="75">
        <v>4</v>
      </c>
      <c r="H151" s="74">
        <v>1</v>
      </c>
      <c r="I151" s="76">
        <v>0</v>
      </c>
      <c r="J151" s="75">
        <v>0</v>
      </c>
      <c r="K151" s="74">
        <v>350</v>
      </c>
      <c r="L151" s="75">
        <v>370</v>
      </c>
    </row>
    <row r="152" spans="1:12" x14ac:dyDescent="0.25">
      <c r="A152" t="str">
        <f t="shared" ca="1" si="45"/>
        <v>May-33</v>
      </c>
      <c r="B152" s="11">
        <v>48700</v>
      </c>
      <c r="C152" s="74">
        <v>744</v>
      </c>
      <c r="D152" s="75">
        <v>264</v>
      </c>
      <c r="E152" s="74">
        <v>22</v>
      </c>
      <c r="F152" s="76">
        <v>4</v>
      </c>
      <c r="G152" s="75">
        <v>5</v>
      </c>
      <c r="H152" s="74">
        <v>1</v>
      </c>
      <c r="I152" s="76">
        <v>0</v>
      </c>
      <c r="J152" s="75">
        <v>1</v>
      </c>
      <c r="K152" s="74">
        <v>360</v>
      </c>
      <c r="L152" s="75">
        <v>384</v>
      </c>
    </row>
    <row r="153" spans="1:12" x14ac:dyDescent="0.25">
      <c r="A153" t="str">
        <f t="shared" ca="1" si="45"/>
        <v>Jun-33</v>
      </c>
      <c r="B153" s="11">
        <v>48731</v>
      </c>
      <c r="C153" s="74">
        <v>720</v>
      </c>
      <c r="D153" s="75">
        <v>264</v>
      </c>
      <c r="E153" s="74">
        <v>22</v>
      </c>
      <c r="F153" s="76">
        <v>4</v>
      </c>
      <c r="G153" s="75">
        <v>4</v>
      </c>
      <c r="H153" s="74">
        <v>1</v>
      </c>
      <c r="I153" s="76">
        <v>0</v>
      </c>
      <c r="J153" s="75">
        <v>0</v>
      </c>
      <c r="K153" s="74">
        <v>360</v>
      </c>
      <c r="L153" s="75">
        <v>360</v>
      </c>
    </row>
    <row r="154" spans="1:12" x14ac:dyDescent="0.25">
      <c r="A154" t="str">
        <f t="shared" ca="1" si="45"/>
        <v>Jul-33</v>
      </c>
      <c r="B154" s="11">
        <v>48761</v>
      </c>
      <c r="C154" s="74">
        <v>744</v>
      </c>
      <c r="D154" s="75">
        <v>252</v>
      </c>
      <c r="E154" s="74">
        <v>21</v>
      </c>
      <c r="F154" s="76">
        <v>5</v>
      </c>
      <c r="G154" s="75">
        <v>5</v>
      </c>
      <c r="H154" s="74">
        <v>0</v>
      </c>
      <c r="I154" s="76">
        <v>0</v>
      </c>
      <c r="J154" s="75">
        <v>0</v>
      </c>
      <c r="K154" s="74">
        <v>366</v>
      </c>
      <c r="L154" s="75">
        <v>378</v>
      </c>
    </row>
    <row r="155" spans="1:12" x14ac:dyDescent="0.25">
      <c r="A155" t="str">
        <f t="shared" ca="1" si="45"/>
        <v>Aug-33</v>
      </c>
      <c r="B155" s="11">
        <v>48792</v>
      </c>
      <c r="C155" s="74">
        <v>744</v>
      </c>
      <c r="D155" s="75">
        <v>276</v>
      </c>
      <c r="E155" s="74">
        <v>23</v>
      </c>
      <c r="F155" s="76">
        <v>4</v>
      </c>
      <c r="G155" s="75">
        <v>4</v>
      </c>
      <c r="H155" s="74">
        <v>0</v>
      </c>
      <c r="I155" s="76">
        <v>0</v>
      </c>
      <c r="J155" s="75">
        <v>0</v>
      </c>
      <c r="K155" s="74">
        <v>392</v>
      </c>
      <c r="L155" s="75">
        <v>352</v>
      </c>
    </row>
    <row r="156" spans="1:12" x14ac:dyDescent="0.25">
      <c r="A156" t="str">
        <f t="shared" ca="1" si="45"/>
        <v>Sep-33</v>
      </c>
      <c r="B156" s="11">
        <v>48823</v>
      </c>
      <c r="C156" s="74">
        <v>720</v>
      </c>
      <c r="D156" s="75">
        <v>264</v>
      </c>
      <c r="E156" s="74">
        <v>22</v>
      </c>
      <c r="F156" s="76">
        <v>4</v>
      </c>
      <c r="G156" s="75">
        <v>4</v>
      </c>
      <c r="H156" s="74">
        <v>0</v>
      </c>
      <c r="I156" s="76">
        <v>0</v>
      </c>
      <c r="J156" s="75">
        <v>0</v>
      </c>
      <c r="K156" s="74">
        <v>376</v>
      </c>
      <c r="L156" s="75">
        <v>344</v>
      </c>
    </row>
    <row r="157" spans="1:12" x14ac:dyDescent="0.25">
      <c r="A157" t="str">
        <f t="shared" ca="1" si="45"/>
        <v>Oct-33</v>
      </c>
      <c r="B157" s="11">
        <v>48853</v>
      </c>
      <c r="C157" s="74">
        <v>745</v>
      </c>
      <c r="D157" s="75">
        <v>252</v>
      </c>
      <c r="E157" s="74">
        <v>21</v>
      </c>
      <c r="F157" s="76">
        <v>5</v>
      </c>
      <c r="G157" s="75">
        <v>5</v>
      </c>
      <c r="H157" s="74">
        <v>0</v>
      </c>
      <c r="I157" s="76">
        <v>0</v>
      </c>
      <c r="J157" s="75">
        <v>0</v>
      </c>
      <c r="K157" s="74">
        <v>366</v>
      </c>
      <c r="L157" s="75">
        <v>379</v>
      </c>
    </row>
    <row r="158" spans="1:12" x14ac:dyDescent="0.25">
      <c r="A158" t="str">
        <f t="shared" ca="1" si="45"/>
        <v>Nov-33</v>
      </c>
      <c r="B158" s="11">
        <v>48884</v>
      </c>
      <c r="C158" s="74">
        <v>720</v>
      </c>
      <c r="D158" s="75">
        <v>264</v>
      </c>
      <c r="E158" s="74">
        <v>22</v>
      </c>
      <c r="F158" s="76">
        <v>4</v>
      </c>
      <c r="G158" s="75">
        <v>4</v>
      </c>
      <c r="H158" s="74">
        <v>0</v>
      </c>
      <c r="I158" s="76">
        <v>0</v>
      </c>
      <c r="J158" s="75">
        <v>0</v>
      </c>
      <c r="K158" s="74">
        <v>376</v>
      </c>
      <c r="L158" s="75">
        <v>344</v>
      </c>
    </row>
    <row r="159" spans="1:12" ht="15.75" thickBot="1" x14ac:dyDescent="0.3">
      <c r="A159" t="str">
        <f t="shared" ca="1" si="45"/>
        <v>Dec-33</v>
      </c>
      <c r="B159" s="12">
        <v>48914</v>
      </c>
      <c r="C159" s="77">
        <v>744</v>
      </c>
      <c r="D159" s="78">
        <v>264</v>
      </c>
      <c r="E159" s="77">
        <v>22</v>
      </c>
      <c r="F159" s="79">
        <v>5</v>
      </c>
      <c r="G159" s="78">
        <v>4</v>
      </c>
      <c r="H159" s="77">
        <v>1</v>
      </c>
      <c r="I159" s="79">
        <v>0</v>
      </c>
      <c r="J159" s="78">
        <v>1</v>
      </c>
      <c r="K159" s="77">
        <v>366</v>
      </c>
      <c r="L159" s="78">
        <v>378</v>
      </c>
    </row>
    <row r="160" spans="1:12" ht="15.75" thickBot="1" x14ac:dyDescent="0.3">
      <c r="A160" t="str">
        <f t="shared" ca="1" si="45"/>
        <v>2033</v>
      </c>
      <c r="B160" s="13" t="s">
        <v>125</v>
      </c>
      <c r="C160" s="14">
        <f t="shared" ref="C160:J160" si="52">SUM(C148:C159)</f>
        <v>8760</v>
      </c>
      <c r="D160" s="16">
        <f t="shared" si="52"/>
        <v>3120</v>
      </c>
      <c r="E160" s="14">
        <f t="shared" si="52"/>
        <v>260</v>
      </c>
      <c r="F160" s="15">
        <f t="shared" si="52"/>
        <v>53</v>
      </c>
      <c r="G160" s="16">
        <f t="shared" si="52"/>
        <v>52</v>
      </c>
      <c r="H160" s="14">
        <f t="shared" si="52"/>
        <v>4</v>
      </c>
      <c r="I160" s="15">
        <f t="shared" si="52"/>
        <v>1</v>
      </c>
      <c r="J160" s="16">
        <f t="shared" si="52"/>
        <v>2</v>
      </c>
      <c r="K160" s="14">
        <f>SUM(K148:K159)</f>
        <v>4408</v>
      </c>
      <c r="L160" s="16">
        <f>SUM(L148:L159)</f>
        <v>4352</v>
      </c>
    </row>
    <row r="161" spans="1:12" x14ac:dyDescent="0.25">
      <c r="A161" t="str">
        <f t="shared" ca="1" si="45"/>
        <v>Q133</v>
      </c>
      <c r="B161" s="17" t="s">
        <v>126</v>
      </c>
      <c r="C161" s="18">
        <f t="shared" ref="C161:L161" si="53">C148+C149+C150</f>
        <v>2159</v>
      </c>
      <c r="D161" s="20">
        <f t="shared" si="53"/>
        <v>768</v>
      </c>
      <c r="E161" s="18">
        <f t="shared" si="53"/>
        <v>64</v>
      </c>
      <c r="F161" s="19">
        <f t="shared" si="53"/>
        <v>13</v>
      </c>
      <c r="G161" s="20">
        <f t="shared" si="53"/>
        <v>13</v>
      </c>
      <c r="H161" s="18">
        <f t="shared" si="53"/>
        <v>0</v>
      </c>
      <c r="I161" s="19">
        <f t="shared" si="53"/>
        <v>1</v>
      </c>
      <c r="J161" s="20">
        <f t="shared" si="53"/>
        <v>0</v>
      </c>
      <c r="K161" s="18">
        <f t="shared" si="53"/>
        <v>1096</v>
      </c>
      <c r="L161" s="20">
        <f t="shared" si="53"/>
        <v>1063</v>
      </c>
    </row>
    <row r="162" spans="1:12" x14ac:dyDescent="0.25">
      <c r="A162" t="str">
        <f t="shared" ca="1" si="45"/>
        <v>Q233</v>
      </c>
      <c r="B162" s="21" t="s">
        <v>127</v>
      </c>
      <c r="C162" s="22">
        <f t="shared" ref="C162:L162" si="54">C151+C152+C153</f>
        <v>2184</v>
      </c>
      <c r="D162" s="33">
        <f t="shared" si="54"/>
        <v>780</v>
      </c>
      <c r="E162" s="24">
        <f t="shared" si="54"/>
        <v>65</v>
      </c>
      <c r="F162" s="25">
        <f t="shared" si="54"/>
        <v>13</v>
      </c>
      <c r="G162" s="23">
        <f t="shared" si="54"/>
        <v>13</v>
      </c>
      <c r="H162" s="24">
        <f t="shared" si="54"/>
        <v>3</v>
      </c>
      <c r="I162" s="25">
        <f t="shared" si="54"/>
        <v>0</v>
      </c>
      <c r="J162" s="23">
        <f t="shared" si="54"/>
        <v>1</v>
      </c>
      <c r="K162" s="22">
        <f t="shared" si="54"/>
        <v>1070</v>
      </c>
      <c r="L162" s="33">
        <f t="shared" si="54"/>
        <v>1114</v>
      </c>
    </row>
    <row r="163" spans="1:12" x14ac:dyDescent="0.25">
      <c r="A163" t="str">
        <f t="shared" ca="1" si="45"/>
        <v>Q333</v>
      </c>
      <c r="B163" s="21" t="s">
        <v>128</v>
      </c>
      <c r="C163" s="22">
        <f t="shared" ref="C163:L163" si="55">C154+C155+C156</f>
        <v>2208</v>
      </c>
      <c r="D163" s="33">
        <f t="shared" si="55"/>
        <v>792</v>
      </c>
      <c r="E163" s="24">
        <f t="shared" si="55"/>
        <v>66</v>
      </c>
      <c r="F163" s="25">
        <f t="shared" si="55"/>
        <v>13</v>
      </c>
      <c r="G163" s="23">
        <f t="shared" si="55"/>
        <v>13</v>
      </c>
      <c r="H163" s="24">
        <f t="shared" si="55"/>
        <v>0</v>
      </c>
      <c r="I163" s="25">
        <f t="shared" si="55"/>
        <v>0</v>
      </c>
      <c r="J163" s="23">
        <f t="shared" si="55"/>
        <v>0</v>
      </c>
      <c r="K163" s="22">
        <f t="shared" si="55"/>
        <v>1134</v>
      </c>
      <c r="L163" s="33">
        <f t="shared" si="55"/>
        <v>1074</v>
      </c>
    </row>
    <row r="164" spans="1:12" ht="15.75" thickBot="1" x14ac:dyDescent="0.3">
      <c r="A164" t="str">
        <f t="shared" ca="1" si="45"/>
        <v>Q433</v>
      </c>
      <c r="B164" s="26" t="s">
        <v>129</v>
      </c>
      <c r="C164" s="27">
        <f t="shared" ref="C164:L164" si="56">C157+C158+C159</f>
        <v>2209</v>
      </c>
      <c r="D164" s="34">
        <f t="shared" si="56"/>
        <v>780</v>
      </c>
      <c r="E164" s="29">
        <f t="shared" si="56"/>
        <v>65</v>
      </c>
      <c r="F164" s="30">
        <f t="shared" si="56"/>
        <v>14</v>
      </c>
      <c r="G164" s="28">
        <f t="shared" si="56"/>
        <v>13</v>
      </c>
      <c r="H164" s="29">
        <f t="shared" si="56"/>
        <v>1</v>
      </c>
      <c r="I164" s="30">
        <f t="shared" si="56"/>
        <v>0</v>
      </c>
      <c r="J164" s="28">
        <f t="shared" si="56"/>
        <v>1</v>
      </c>
      <c r="K164" s="27">
        <f t="shared" si="56"/>
        <v>1108</v>
      </c>
      <c r="L164" s="34">
        <f t="shared" si="56"/>
        <v>1101</v>
      </c>
    </row>
    <row r="165" spans="1:12" ht="15.75" thickBot="1" x14ac:dyDescent="0.3">
      <c r="A165" t="str">
        <f t="shared" ca="1" si="45"/>
        <v>Sum33-Sum33</v>
      </c>
      <c r="B165" s="31" t="s">
        <v>130</v>
      </c>
      <c r="C165" s="14">
        <f t="shared" ref="C165:L165" si="57">C162+C163</f>
        <v>4392</v>
      </c>
      <c r="D165" s="16">
        <f t="shared" si="57"/>
        <v>1572</v>
      </c>
      <c r="E165" s="14">
        <f t="shared" si="57"/>
        <v>131</v>
      </c>
      <c r="F165" s="15">
        <f t="shared" si="57"/>
        <v>26</v>
      </c>
      <c r="G165" s="16">
        <f t="shared" si="57"/>
        <v>26</v>
      </c>
      <c r="H165" s="14">
        <f t="shared" si="57"/>
        <v>3</v>
      </c>
      <c r="I165" s="15">
        <f t="shared" si="57"/>
        <v>0</v>
      </c>
      <c r="J165" s="16">
        <f t="shared" si="57"/>
        <v>1</v>
      </c>
      <c r="K165" s="14">
        <f t="shared" si="57"/>
        <v>2204</v>
      </c>
      <c r="L165" s="16">
        <f t="shared" si="57"/>
        <v>2188</v>
      </c>
    </row>
  </sheetData>
  <pageMargins left="0.7" right="0.7" top="0.78740157499999996" bottom="0.78740157499999996" header="0.3" footer="0.3"/>
  <pageSetup paperSize="9" orientation="portrait" horizontalDpi="1200" verticalDpi="1200" r:id="rId1"/>
  <customProperties>
    <customPr name="_pios_id" r:id="rId2"/>
    <customPr name="ID" r:id="rId3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Position Frontjahre</vt:lpstr>
      <vt:lpstr>Vertriebsinfos</vt:lpstr>
      <vt:lpstr>Handelskalender</vt:lpstr>
      <vt:lpstr>Limitorder</vt:lpstr>
      <vt:lpstr>Stunden</vt:lpstr>
      <vt:lpstr>Datum</vt:lpstr>
      <vt:lpstr>Pos0</vt:lpstr>
    </vt:vector>
  </TitlesOfParts>
  <Company>Allgäuer Überlandwerk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Weppner Valentin</dc:creator>
  <cp:lastModifiedBy>Schnur Sebastian</cp:lastModifiedBy>
  <cp:lastPrinted>2024-02-15T07:41:26Z</cp:lastPrinted>
  <dcterms:created xsi:type="dcterms:W3CDTF">2018-04-17T14:13:49Z</dcterms:created>
  <dcterms:modified xsi:type="dcterms:W3CDTF">2026-07-03T12:49:04Z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